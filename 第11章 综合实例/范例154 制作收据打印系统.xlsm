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vbaProjectSignature.bin" ContentType="application/vnd.ms-office.vbaProjectSignature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0" windowWidth="12120" windowHeight="9225" tabRatio="399"/>
  </bookViews>
  <sheets>
    <sheet name="Sheet1" sheetId="13" r:id="rId1"/>
    <sheet name="Sheet2" sheetId="14" state="veryHidden" r:id="rId2"/>
    <sheet name="Sheet3" sheetId="15" state="veryHidden" r:id="rId3"/>
    <sheet name="Sheet4" sheetId="16" state="veryHidden" r:id="rId4"/>
  </sheets>
  <functionGroups/>
  <definedNames>
    <definedName name="_xlnm.Print_Area" localSheetId="3">Sheet4!$B$1:$M$29</definedName>
  </definedNames>
  <calcPr calcId="125725"/>
</workbook>
</file>

<file path=xl/calcChain.xml><?xml version="1.0" encoding="utf-8"?>
<calcChain xmlns="http://schemas.openxmlformats.org/spreadsheetml/2006/main">
  <c r="F3" i="16"/>
  <c r="F23" s="1"/>
  <c r="F4"/>
  <c r="F24" s="1"/>
  <c r="D7"/>
  <c r="D27" s="1"/>
  <c r="K8"/>
  <c r="K28" s="1"/>
  <c r="K7"/>
  <c r="K27" s="1"/>
  <c r="K6"/>
  <c r="K26" s="1"/>
  <c r="K5"/>
  <c r="K25" s="1"/>
  <c r="K4"/>
  <c r="K24" s="1"/>
  <c r="F6"/>
  <c r="F26" s="1"/>
  <c r="F5"/>
  <c r="F25" s="1"/>
  <c r="F2"/>
  <c r="F22" s="1"/>
  <c r="K21"/>
  <c r="K11"/>
  <c r="F12" l="1"/>
  <c r="F14"/>
  <c r="F15"/>
  <c r="F16"/>
  <c r="D17"/>
  <c r="K18"/>
  <c r="F13"/>
  <c r="K14"/>
  <c r="K15"/>
  <c r="K16"/>
  <c r="K17"/>
</calcChain>
</file>

<file path=xl/sharedStrings.xml><?xml version="1.0" encoding="utf-8"?>
<sst xmlns="http://schemas.openxmlformats.org/spreadsheetml/2006/main" count="102" uniqueCount="55">
  <si>
    <t>交款人</t>
    <phoneticPr fontId="1" type="noConversion"/>
  </si>
  <si>
    <t>签发人</t>
    <phoneticPr fontId="1" type="noConversion"/>
  </si>
  <si>
    <t>收款人</t>
    <phoneticPr fontId="1" type="noConversion"/>
  </si>
  <si>
    <t>号码</t>
    <phoneticPr fontId="1" type="noConversion"/>
  </si>
  <si>
    <t>日期</t>
    <phoneticPr fontId="1" type="noConversion"/>
  </si>
  <si>
    <t>交款单位名称</t>
    <phoneticPr fontId="1" type="noConversion"/>
  </si>
  <si>
    <t>金额大写</t>
    <phoneticPr fontId="1" type="noConversion"/>
  </si>
  <si>
    <t>交款事由</t>
    <phoneticPr fontId="1" type="noConversion"/>
  </si>
  <si>
    <t>收款单位名称</t>
    <phoneticPr fontId="1" type="noConversion"/>
  </si>
  <si>
    <t>金额小写</t>
    <phoneticPr fontId="1" type="noConversion"/>
  </si>
  <si>
    <t>填发单位</t>
    <phoneticPr fontId="1" type="noConversion"/>
  </si>
  <si>
    <t>备</t>
    <phoneticPr fontId="1" type="noConversion"/>
  </si>
  <si>
    <t>注</t>
    <phoneticPr fontId="1" type="noConversion"/>
  </si>
  <si>
    <t>收款人姓名</t>
    <phoneticPr fontId="1" type="noConversion"/>
  </si>
  <si>
    <t>交款人姓名</t>
    <phoneticPr fontId="1" type="noConversion"/>
  </si>
  <si>
    <t>金额(大写)</t>
    <phoneticPr fontId="1" type="noConversion"/>
  </si>
  <si>
    <t>￥</t>
    <phoneticPr fontId="1" type="noConversion"/>
  </si>
  <si>
    <t>填发单位:</t>
    <phoneticPr fontId="1" type="noConversion"/>
  </si>
  <si>
    <t>签发人:</t>
    <phoneticPr fontId="1" type="noConversion"/>
  </si>
  <si>
    <t>第
二
联
交
付
款
单
位
入
帐</t>
    <phoneticPr fontId="1" type="noConversion"/>
  </si>
  <si>
    <t>第
三
联
收
款
单
位
入
帐</t>
    <phoneticPr fontId="1" type="noConversion"/>
  </si>
  <si>
    <t>第
一
联
存
根</t>
    <phoneticPr fontId="1" type="noConversion"/>
  </si>
  <si>
    <t xml:space="preserve">    收   据</t>
    <phoneticPr fontId="1" type="noConversion"/>
  </si>
  <si>
    <t>交 款 事 由</t>
    <phoneticPr fontId="1" type="noConversion"/>
  </si>
  <si>
    <t>密码</t>
    <phoneticPr fontId="1" type="noConversion"/>
  </si>
  <si>
    <t>当前用户</t>
    <phoneticPr fontId="1" type="noConversion"/>
  </si>
  <si>
    <t>使用单位</t>
    <phoneticPr fontId="1" type="noConversion"/>
  </si>
  <si>
    <t>交款单位</t>
    <phoneticPr fontId="1" type="noConversion"/>
  </si>
  <si>
    <t>常用交款事由</t>
    <phoneticPr fontId="1" type="noConversion"/>
  </si>
  <si>
    <t>常用备注</t>
  </si>
  <si>
    <t>备        注</t>
    <phoneticPr fontId="1" type="noConversion"/>
  </si>
  <si>
    <t>打印</t>
    <phoneticPr fontId="1" type="noConversion"/>
  </si>
  <si>
    <t>用户名</t>
    <phoneticPr fontId="1" type="noConversion"/>
  </si>
  <si>
    <t>系统管理员</t>
    <phoneticPr fontId="1" type="noConversion"/>
  </si>
  <si>
    <t>√</t>
  </si>
  <si>
    <t>NO:</t>
    <phoneticPr fontId="1" type="noConversion"/>
  </si>
  <si>
    <r>
      <t>8</t>
    </r>
    <r>
      <rPr>
        <sz val="10"/>
        <rFont val="宋体"/>
        <family val="3"/>
        <charset val="134"/>
      </rPr>
      <t>88888</t>
    </r>
    <phoneticPr fontId="1" type="noConversion"/>
  </si>
  <si>
    <t>001</t>
  </si>
  <si>
    <t>张三</t>
  </si>
  <si>
    <t>李四</t>
  </si>
  <si>
    <t>王五</t>
  </si>
  <si>
    <t>赵六</t>
  </si>
  <si>
    <t>收欠款</t>
  </si>
  <si>
    <t>收还款</t>
  </si>
  <si>
    <t>欠款</t>
  </si>
  <si>
    <t>还款</t>
  </si>
  <si>
    <t>武大</t>
  </si>
  <si>
    <t>孙二</t>
  </si>
  <si>
    <t>贰仟捌佰元整</t>
  </si>
  <si>
    <t>2800.00</t>
  </si>
  <si>
    <t xml:space="preserve">养老保险 单位：	1000.00元	个人：	200.00元	_x000D_
失业保险 单位：	400.00元	个人：	100.00元	_x000D_
医疗保险 单位：	500.00元	个人：	600.00元	</t>
  </si>
  <si>
    <t>壹万元整</t>
  </si>
  <si>
    <t>10000.00</t>
  </si>
  <si>
    <t>888888</t>
    <phoneticPr fontId="1" type="noConversion"/>
  </si>
  <si>
    <t>南通市XX有限责任公司</t>
    <phoneticPr fontId="1" type="noConversion"/>
  </si>
</sst>
</file>

<file path=xl/styles.xml><?xml version="1.0" encoding="utf-8"?>
<styleSheet xmlns="http://schemas.openxmlformats.org/spreadsheetml/2006/main">
  <numFmts count="2">
    <numFmt numFmtId="176" formatCode="0.00_);[Red]\(0.00\)"/>
    <numFmt numFmtId="177" formatCode="0_ "/>
  </numFmts>
  <fonts count="23">
    <font>
      <sz val="12"/>
      <name val="宋体"/>
      <charset val="134"/>
    </font>
    <font>
      <sz val="9"/>
      <name val="宋体"/>
      <charset val="134"/>
    </font>
    <font>
      <sz val="10"/>
      <name val="宋体"/>
      <charset val="134"/>
    </font>
    <font>
      <sz val="12"/>
      <name val="楷体_GB2312"/>
      <family val="3"/>
      <charset val="134"/>
    </font>
    <font>
      <b/>
      <sz val="18"/>
      <name val="楷体_GB2312"/>
      <family val="3"/>
      <charset val="134"/>
    </font>
    <font>
      <b/>
      <sz val="12"/>
      <name val="楷体_GB2312"/>
      <family val="3"/>
      <charset val="134"/>
    </font>
    <font>
      <sz val="10"/>
      <name val="楷体_GB2312"/>
      <family val="3"/>
      <charset val="134"/>
    </font>
    <font>
      <sz val="9"/>
      <name val="楷体_GB2312"/>
      <family val="3"/>
      <charset val="134"/>
    </font>
    <font>
      <sz val="12"/>
      <color indexed="10"/>
      <name val="楷体_GB2312"/>
      <family val="3"/>
      <charset val="134"/>
    </font>
    <font>
      <b/>
      <sz val="18"/>
      <color indexed="10"/>
      <name val="楷体_GB2312"/>
      <family val="3"/>
      <charset val="134"/>
    </font>
    <font>
      <b/>
      <sz val="12"/>
      <color indexed="10"/>
      <name val="楷体_GB2312"/>
      <family val="3"/>
      <charset val="134"/>
    </font>
    <font>
      <sz val="10"/>
      <color indexed="10"/>
      <name val="楷体_GB2312"/>
      <family val="3"/>
      <charset val="134"/>
    </font>
    <font>
      <sz val="9"/>
      <color indexed="10"/>
      <name val="楷体_GB2312"/>
      <family val="3"/>
      <charset val="134"/>
    </font>
    <font>
      <sz val="12"/>
      <color indexed="57"/>
      <name val="楷体_GB2312"/>
      <family val="3"/>
      <charset val="134"/>
    </font>
    <font>
      <b/>
      <sz val="18"/>
      <color indexed="57"/>
      <name val="楷体_GB2312"/>
      <family val="3"/>
      <charset val="134"/>
    </font>
    <font>
      <b/>
      <sz val="12"/>
      <color indexed="57"/>
      <name val="楷体_GB2312"/>
      <family val="3"/>
      <charset val="134"/>
    </font>
    <font>
      <sz val="10"/>
      <color indexed="57"/>
      <name val="楷体_GB2312"/>
      <family val="3"/>
      <charset val="134"/>
    </font>
    <font>
      <sz val="9"/>
      <color indexed="57"/>
      <name val="楷体_GB2312"/>
      <family val="3"/>
      <charset val="134"/>
    </font>
    <font>
      <b/>
      <sz val="12"/>
      <name val="宋体"/>
      <family val="3"/>
      <charset val="134"/>
      <scheme val="major"/>
    </font>
    <font>
      <b/>
      <sz val="12"/>
      <color indexed="10"/>
      <name val="宋体"/>
      <family val="3"/>
      <charset val="134"/>
      <scheme val="major"/>
    </font>
    <font>
      <b/>
      <sz val="12"/>
      <color indexed="57"/>
      <name val="宋体"/>
      <family val="3"/>
      <charset val="134"/>
      <scheme val="major"/>
    </font>
    <font>
      <sz val="10"/>
      <name val="宋体"/>
      <family val="3"/>
      <charset val="134"/>
    </font>
    <font>
      <sz val="9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40">
    <border>
      <left/>
      <right/>
      <top/>
      <bottom/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/>
      <diagonal/>
    </border>
    <border>
      <left/>
      <right style="thin">
        <color indexed="10"/>
      </right>
      <top style="thin">
        <color indexed="10"/>
      </top>
      <bottom/>
      <diagonal/>
    </border>
    <border>
      <left style="thin">
        <color indexed="10"/>
      </left>
      <right style="thin">
        <color indexed="10"/>
      </right>
      <top/>
      <bottom style="thin">
        <color indexed="10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/>
      <right/>
      <top style="thin">
        <color indexed="57"/>
      </top>
      <bottom style="thin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/>
      <diagonal/>
    </border>
    <border>
      <left/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 style="thin">
        <color indexed="57"/>
      </right>
      <top/>
      <bottom style="thin">
        <color indexed="57"/>
      </bottom>
      <diagonal/>
    </border>
    <border>
      <left/>
      <right style="thin">
        <color indexed="57"/>
      </right>
      <top/>
      <bottom style="thin">
        <color indexed="57"/>
      </bottom>
      <diagonal/>
    </border>
    <border>
      <left/>
      <right/>
      <top/>
      <bottom style="dashed">
        <color indexed="64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thin">
        <color indexed="57"/>
      </right>
      <top style="thin">
        <color indexed="57"/>
      </top>
      <bottom style="thin">
        <color indexed="57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10"/>
      </right>
      <top/>
      <bottom style="thin">
        <color indexed="10"/>
      </bottom>
      <diagonal/>
    </border>
    <border>
      <left style="thin">
        <color indexed="10"/>
      </left>
      <right/>
      <top/>
      <bottom style="thin">
        <color indexed="10"/>
      </bottom>
      <diagonal/>
    </border>
    <border>
      <left style="thin">
        <color indexed="10"/>
      </left>
      <right/>
      <top style="thin">
        <color indexed="10"/>
      </top>
      <bottom style="thin">
        <color indexed="10"/>
      </bottom>
      <diagonal/>
    </border>
    <border>
      <left style="thin">
        <color indexed="10"/>
      </left>
      <right/>
      <top style="thin">
        <color indexed="1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 style="thin">
        <color indexed="57"/>
      </left>
      <right/>
      <top style="thin">
        <color indexed="57"/>
      </top>
      <bottom/>
      <diagonal/>
    </border>
    <border>
      <left/>
      <right/>
      <top style="thin">
        <color indexed="57"/>
      </top>
      <bottom/>
      <diagonal/>
    </border>
    <border>
      <left style="thin">
        <color indexed="57"/>
      </left>
      <right/>
      <top/>
      <bottom style="thin">
        <color indexed="57"/>
      </bottom>
      <diagonal/>
    </border>
    <border>
      <left/>
      <right/>
      <top/>
      <bottom style="thin">
        <color indexed="57"/>
      </bottom>
      <diagonal/>
    </border>
    <border>
      <left/>
      <right/>
      <top style="thin">
        <color indexed="10"/>
      </top>
      <bottom/>
      <diagonal/>
    </border>
  </borders>
  <cellStyleXfs count="1">
    <xf numFmtId="0" fontId="0" fillId="0" borderId="0">
      <alignment vertical="center"/>
    </xf>
  </cellStyleXfs>
  <cellXfs count="11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>
      <alignment vertical="center"/>
    </xf>
    <xf numFmtId="0" fontId="3" fillId="0" borderId="19" xfId="0" applyFont="1" applyFill="1" applyBorder="1">
      <alignment vertical="center"/>
    </xf>
    <xf numFmtId="0" fontId="0" fillId="0" borderId="0" xfId="0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6" fillId="0" borderId="2" xfId="0" applyFont="1" applyFill="1" applyBorder="1">
      <alignment vertical="center"/>
    </xf>
    <xf numFmtId="0" fontId="6" fillId="0" borderId="3" xfId="0" applyFont="1" applyFill="1" applyBorder="1" applyAlignment="1">
      <alignment horizontal="right" vertical="center"/>
    </xf>
    <xf numFmtId="176" fontId="6" fillId="0" borderId="22" xfId="0" applyNumberFormat="1" applyFont="1" applyFill="1" applyBorder="1" applyAlignment="1">
      <alignment horizontal="left" vertical="center"/>
    </xf>
    <xf numFmtId="0" fontId="6" fillId="0" borderId="4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vertical="center"/>
    </xf>
    <xf numFmtId="0" fontId="6" fillId="0" borderId="6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left" vertical="center"/>
    </xf>
    <xf numFmtId="0" fontId="3" fillId="0" borderId="1" xfId="0" applyFont="1" applyFill="1" applyBorder="1">
      <alignment vertical="center"/>
    </xf>
    <xf numFmtId="0" fontId="8" fillId="0" borderId="0" xfId="0" applyFont="1" applyFill="1" applyBorder="1">
      <alignment vertical="center"/>
    </xf>
    <xf numFmtId="0" fontId="8" fillId="0" borderId="0" xfId="0" applyFont="1" applyFill="1" applyBorder="1" applyAlignment="1">
      <alignment vertical="center"/>
    </xf>
    <xf numFmtId="0" fontId="10" fillId="0" borderId="0" xfId="0" applyNumberFormat="1" applyFont="1" applyFill="1" applyBorder="1" applyAlignment="1">
      <alignment horizontal="left" vertical="center"/>
    </xf>
    <xf numFmtId="0" fontId="8" fillId="0" borderId="7" xfId="0" applyFont="1" applyFill="1" applyBorder="1">
      <alignment vertical="center"/>
    </xf>
    <xf numFmtId="0" fontId="11" fillId="0" borderId="8" xfId="0" applyFont="1" applyFill="1" applyBorder="1">
      <alignment vertical="center"/>
    </xf>
    <xf numFmtId="0" fontId="11" fillId="0" borderId="9" xfId="0" applyFont="1" applyFill="1" applyBorder="1" applyAlignment="1">
      <alignment horizontal="right" vertical="center"/>
    </xf>
    <xf numFmtId="176" fontId="11" fillId="0" borderId="20" xfId="0" applyNumberFormat="1" applyFont="1" applyFill="1" applyBorder="1" applyAlignment="1">
      <alignment horizontal="left" vertical="center"/>
    </xf>
    <xf numFmtId="0" fontId="11" fillId="0" borderId="10" xfId="0" applyFont="1" applyFill="1" applyBorder="1" applyAlignment="1">
      <alignment horizontal="center" vertical="center"/>
    </xf>
    <xf numFmtId="0" fontId="11" fillId="0" borderId="11" xfId="0" applyFont="1" applyFill="1" applyBorder="1">
      <alignment vertical="center"/>
    </xf>
    <xf numFmtId="0" fontId="11" fillId="0" borderId="12" xfId="0" applyFont="1" applyFill="1" applyBorder="1" applyAlignment="1">
      <alignment horizontal="center" vertical="center"/>
    </xf>
    <xf numFmtId="0" fontId="11" fillId="0" borderId="24" xfId="0" applyFont="1" applyFill="1" applyBorder="1" applyAlignment="1">
      <alignment horizontal="left" vertical="center"/>
    </xf>
    <xf numFmtId="0" fontId="13" fillId="0" borderId="0" xfId="0" applyFont="1" applyFill="1">
      <alignment vertical="center"/>
    </xf>
    <xf numFmtId="0" fontId="13" fillId="0" borderId="0" xfId="0" applyFont="1" applyFill="1" applyAlignment="1">
      <alignment vertical="center"/>
    </xf>
    <xf numFmtId="0" fontId="15" fillId="0" borderId="0" xfId="0" applyNumberFormat="1" applyFont="1" applyFill="1" applyAlignment="1">
      <alignment horizontal="left" vertical="center"/>
    </xf>
    <xf numFmtId="0" fontId="16" fillId="0" borderId="13" xfId="0" applyFont="1" applyFill="1" applyBorder="1">
      <alignment vertical="center"/>
    </xf>
    <xf numFmtId="0" fontId="16" fillId="0" borderId="14" xfId="0" applyFont="1" applyFill="1" applyBorder="1" applyAlignment="1">
      <alignment horizontal="right" vertical="center"/>
    </xf>
    <xf numFmtId="176" fontId="16" fillId="0" borderId="21" xfId="0" applyNumberFormat="1" applyFont="1" applyFill="1" applyBorder="1" applyAlignment="1">
      <alignment horizontal="left" vertical="center"/>
    </xf>
    <xf numFmtId="0" fontId="16" fillId="0" borderId="15" xfId="0" applyFont="1" applyFill="1" applyBorder="1" applyAlignment="1">
      <alignment horizontal="center" vertical="center"/>
    </xf>
    <xf numFmtId="0" fontId="16" fillId="0" borderId="16" xfId="0" applyFont="1" applyFill="1" applyBorder="1">
      <alignment vertical="center"/>
    </xf>
    <xf numFmtId="0" fontId="16" fillId="0" borderId="17" xfId="0" applyFont="1" applyFill="1" applyBorder="1" applyAlignment="1">
      <alignment horizontal="center" vertical="center"/>
    </xf>
    <xf numFmtId="0" fontId="16" fillId="0" borderId="18" xfId="0" applyFont="1" applyFill="1" applyBorder="1">
      <alignment vertical="center"/>
    </xf>
    <xf numFmtId="0" fontId="3" fillId="0" borderId="0" xfId="0" applyFont="1" applyFill="1" applyBorder="1">
      <alignment vertical="center"/>
    </xf>
    <xf numFmtId="49" fontId="21" fillId="0" borderId="0" xfId="0" applyNumberFormat="1" applyFont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4" fontId="22" fillId="0" borderId="0" xfId="0" applyNumberFormat="1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 wrapText="1"/>
    </xf>
    <xf numFmtId="176" fontId="22" fillId="0" borderId="0" xfId="0" applyNumberFormat="1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0" fontId="22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49" fontId="22" fillId="0" borderId="0" xfId="0" applyNumberFormat="1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77" fontId="22" fillId="0" borderId="0" xfId="0" applyNumberFormat="1" applyFont="1" applyAlignment="1">
      <alignment horizontal="center" vertical="center"/>
    </xf>
    <xf numFmtId="0" fontId="7" fillId="0" borderId="28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/>
    </xf>
    <xf numFmtId="0" fontId="6" fillId="0" borderId="33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18" fillId="0" borderId="0" xfId="0" applyFont="1" applyFill="1" applyAlignment="1">
      <alignment horizontal="right" vertical="center"/>
    </xf>
    <xf numFmtId="14" fontId="6" fillId="0" borderId="32" xfId="0" applyNumberFormat="1" applyFont="1" applyFill="1" applyBorder="1" applyAlignment="1">
      <alignment horizontal="center" vertical="top"/>
    </xf>
    <xf numFmtId="0" fontId="6" fillId="0" borderId="33" xfId="0" applyFont="1" applyFill="1" applyBorder="1" applyAlignment="1">
      <alignment horizontal="left" vertical="center"/>
    </xf>
    <xf numFmtId="0" fontId="6" fillId="0" borderId="3" xfId="0" applyFont="1" applyFill="1" applyBorder="1" applyAlignment="1">
      <alignment horizontal="left" vertical="center"/>
    </xf>
    <xf numFmtId="0" fontId="6" fillId="0" borderId="29" xfId="0" applyFont="1" applyFill="1" applyBorder="1" applyAlignment="1">
      <alignment horizontal="left" vertical="top" wrapText="1"/>
    </xf>
    <xf numFmtId="0" fontId="6" fillId="0" borderId="30" xfId="0" applyFont="1" applyFill="1" applyBorder="1" applyAlignment="1">
      <alignment horizontal="left" vertical="top"/>
    </xf>
    <xf numFmtId="0" fontId="6" fillId="0" borderId="5" xfId="0" applyFont="1" applyFill="1" applyBorder="1" applyAlignment="1">
      <alignment horizontal="left" vertical="top"/>
    </xf>
    <xf numFmtId="0" fontId="6" fillId="0" borderId="31" xfId="0" applyFont="1" applyFill="1" applyBorder="1" applyAlignment="1">
      <alignment horizontal="left" vertical="top"/>
    </xf>
    <xf numFmtId="0" fontId="6" fillId="0" borderId="32" xfId="0" applyFont="1" applyFill="1" applyBorder="1" applyAlignment="1">
      <alignment horizontal="left" vertical="top"/>
    </xf>
    <xf numFmtId="0" fontId="6" fillId="0" borderId="23" xfId="0" applyFont="1" applyFill="1" applyBorder="1" applyAlignment="1">
      <alignment horizontal="left" vertical="top"/>
    </xf>
    <xf numFmtId="0" fontId="6" fillId="0" borderId="29" xfId="0" applyFont="1" applyFill="1" applyBorder="1" applyAlignment="1">
      <alignment horizontal="right" vertical="center"/>
    </xf>
    <xf numFmtId="0" fontId="6" fillId="0" borderId="30" xfId="0" applyFont="1" applyFill="1" applyBorder="1" applyAlignment="1">
      <alignment horizontal="right" vertical="center"/>
    </xf>
    <xf numFmtId="0" fontId="6" fillId="0" borderId="31" xfId="0" applyFont="1" applyFill="1" applyBorder="1" applyAlignment="1">
      <alignment horizontal="right" vertical="center"/>
    </xf>
    <xf numFmtId="0" fontId="6" fillId="0" borderId="32" xfId="0" applyFont="1" applyFill="1" applyBorder="1" applyAlignment="1">
      <alignment horizontal="right" vertical="center"/>
    </xf>
    <xf numFmtId="0" fontId="6" fillId="0" borderId="22" xfId="0" applyFont="1" applyFill="1" applyBorder="1" applyAlignment="1">
      <alignment horizontal="left" vertical="center"/>
    </xf>
    <xf numFmtId="14" fontId="16" fillId="0" borderId="0" xfId="0" applyNumberFormat="1" applyFont="1" applyFill="1" applyBorder="1" applyAlignment="1">
      <alignment horizontal="center" vertical="top"/>
    </xf>
    <xf numFmtId="14" fontId="11" fillId="0" borderId="7" xfId="0" applyNumberFormat="1" applyFont="1" applyFill="1" applyBorder="1" applyAlignment="1">
      <alignment horizontal="center" vertical="top"/>
    </xf>
    <xf numFmtId="0" fontId="11" fillId="0" borderId="8" xfId="0" applyFont="1" applyFill="1" applyBorder="1" applyAlignment="1">
      <alignment horizontal="center" vertical="center"/>
    </xf>
    <xf numFmtId="0" fontId="11" fillId="0" borderId="26" xfId="0" applyFont="1" applyFill="1" applyBorder="1" applyAlignment="1">
      <alignment horizontal="left" vertical="center"/>
    </xf>
    <xf numFmtId="0" fontId="11" fillId="0" borderId="9" xfId="0" applyFont="1" applyFill="1" applyBorder="1" applyAlignment="1">
      <alignment horizontal="left" vertical="center"/>
    </xf>
    <xf numFmtId="0" fontId="11" fillId="0" borderId="20" xfId="0" applyFont="1" applyFill="1" applyBorder="1" applyAlignment="1">
      <alignment horizontal="left" vertical="center"/>
    </xf>
    <xf numFmtId="0" fontId="12" fillId="0" borderId="25" xfId="0" applyFont="1" applyFill="1" applyBorder="1" applyAlignment="1">
      <alignment horizontal="center" vertical="center" wrapText="1"/>
    </xf>
    <xf numFmtId="0" fontId="12" fillId="0" borderId="26" xfId="0" applyFont="1" applyFill="1" applyBorder="1" applyAlignment="1">
      <alignment horizontal="center" vertical="center" wrapText="1"/>
    </xf>
    <xf numFmtId="0" fontId="12" fillId="0" borderId="27" xfId="0" applyFont="1" applyFill="1" applyBorder="1" applyAlignment="1">
      <alignment horizontal="center" vertical="center" wrapText="1"/>
    </xf>
    <xf numFmtId="0" fontId="11" fillId="0" borderId="8" xfId="0" applyFont="1" applyFill="1" applyBorder="1" applyAlignment="1">
      <alignment horizontal="left" vertical="center"/>
    </xf>
    <xf numFmtId="0" fontId="11" fillId="0" borderId="27" xfId="0" applyFont="1" applyFill="1" applyBorder="1" applyAlignment="1">
      <alignment horizontal="left" vertical="top" wrapText="1"/>
    </xf>
    <xf numFmtId="0" fontId="11" fillId="0" borderId="39" xfId="0" applyFont="1" applyFill="1" applyBorder="1" applyAlignment="1">
      <alignment horizontal="left" vertical="top" wrapText="1"/>
    </xf>
    <xf numFmtId="0" fontId="11" fillId="0" borderId="11" xfId="0" applyFont="1" applyFill="1" applyBorder="1" applyAlignment="1">
      <alignment horizontal="left" vertical="top" wrapText="1"/>
    </xf>
    <xf numFmtId="0" fontId="11" fillId="0" borderId="25" xfId="0" applyFont="1" applyFill="1" applyBorder="1" applyAlignment="1">
      <alignment horizontal="left" vertical="top" wrapText="1"/>
    </xf>
    <xf numFmtId="0" fontId="11" fillId="0" borderId="7" xfId="0" applyFont="1" applyFill="1" applyBorder="1" applyAlignment="1">
      <alignment horizontal="left" vertical="top" wrapText="1"/>
    </xf>
    <xf numFmtId="0" fontId="11" fillId="0" borderId="24" xfId="0" applyFont="1" applyFill="1" applyBorder="1" applyAlignment="1">
      <alignment horizontal="left" vertical="top" wrapText="1"/>
    </xf>
    <xf numFmtId="0" fontId="11" fillId="0" borderId="27" xfId="0" applyFont="1" applyFill="1" applyBorder="1" applyAlignment="1">
      <alignment horizontal="right" vertical="center"/>
    </xf>
    <xf numFmtId="0" fontId="11" fillId="0" borderId="39" xfId="0" applyFont="1" applyFill="1" applyBorder="1" applyAlignment="1">
      <alignment horizontal="right" vertical="center"/>
    </xf>
    <xf numFmtId="0" fontId="11" fillId="0" borderId="25" xfId="0" applyFont="1" applyFill="1" applyBorder="1" applyAlignment="1">
      <alignment horizontal="right" vertical="center"/>
    </xf>
    <xf numFmtId="0" fontId="11" fillId="0" borderId="7" xfId="0" applyFont="1" applyFill="1" applyBorder="1" applyAlignment="1">
      <alignment horizontal="right" vertical="center"/>
    </xf>
    <xf numFmtId="0" fontId="14" fillId="0" borderId="0" xfId="0" applyFont="1" applyFill="1" applyBorder="1" applyAlignment="1">
      <alignment horizontal="center" vertical="center"/>
    </xf>
    <xf numFmtId="0" fontId="20" fillId="0" borderId="0" xfId="0" applyFont="1" applyFill="1" applyAlignment="1">
      <alignment horizontal="right" vertical="center"/>
    </xf>
    <xf numFmtId="0" fontId="16" fillId="0" borderId="35" xfId="0" applyFont="1" applyFill="1" applyBorder="1" applyAlignment="1">
      <alignment horizontal="right" vertical="center"/>
    </xf>
    <xf numFmtId="0" fontId="16" fillId="0" borderId="36" xfId="0" applyFont="1" applyFill="1" applyBorder="1" applyAlignment="1">
      <alignment horizontal="right" vertical="center"/>
    </xf>
    <xf numFmtId="0" fontId="16" fillId="0" borderId="37" xfId="0" applyFont="1" applyFill="1" applyBorder="1" applyAlignment="1">
      <alignment horizontal="right" vertical="center"/>
    </xf>
    <xf numFmtId="0" fontId="16" fillId="0" borderId="38" xfId="0" applyFont="1" applyFill="1" applyBorder="1" applyAlignment="1">
      <alignment horizontal="right" vertical="center"/>
    </xf>
    <xf numFmtId="0" fontId="16" fillId="0" borderId="13" xfId="0" applyFont="1" applyFill="1" applyBorder="1" applyAlignment="1">
      <alignment horizontal="center" vertical="center"/>
    </xf>
    <xf numFmtId="0" fontId="16" fillId="0" borderId="34" xfId="0" applyFont="1" applyFill="1" applyBorder="1" applyAlignment="1">
      <alignment horizontal="left" vertical="center"/>
    </xf>
    <xf numFmtId="0" fontId="16" fillId="0" borderId="14" xfId="0" applyFont="1" applyFill="1" applyBorder="1" applyAlignment="1">
      <alignment horizontal="left" vertical="center"/>
    </xf>
    <xf numFmtId="0" fontId="16" fillId="0" borderId="21" xfId="0" applyFont="1" applyFill="1" applyBorder="1" applyAlignment="1">
      <alignment horizontal="left" vertical="center"/>
    </xf>
    <xf numFmtId="0" fontId="17" fillId="0" borderId="0" xfId="0" applyFont="1" applyFill="1" applyBorder="1" applyAlignment="1">
      <alignment horizontal="center" vertical="center" wrapText="1"/>
    </xf>
    <xf numFmtId="0" fontId="16" fillId="0" borderId="13" xfId="0" applyFont="1" applyFill="1" applyBorder="1" applyAlignment="1">
      <alignment horizontal="left" vertical="center"/>
    </xf>
    <xf numFmtId="0" fontId="16" fillId="0" borderId="35" xfId="0" applyFont="1" applyFill="1" applyBorder="1" applyAlignment="1">
      <alignment horizontal="left" vertical="top" wrapText="1"/>
    </xf>
    <xf numFmtId="0" fontId="16" fillId="0" borderId="36" xfId="0" applyFont="1" applyFill="1" applyBorder="1" applyAlignment="1">
      <alignment horizontal="left" vertical="top" wrapText="1"/>
    </xf>
    <xf numFmtId="0" fontId="16" fillId="0" borderId="16" xfId="0" applyFont="1" applyFill="1" applyBorder="1" applyAlignment="1">
      <alignment horizontal="left" vertical="top" wrapText="1"/>
    </xf>
    <xf numFmtId="0" fontId="16" fillId="0" borderId="37" xfId="0" applyFont="1" applyFill="1" applyBorder="1" applyAlignment="1">
      <alignment horizontal="left" vertical="top" wrapText="1"/>
    </xf>
    <xf numFmtId="0" fontId="16" fillId="0" borderId="38" xfId="0" applyFont="1" applyFill="1" applyBorder="1" applyAlignment="1">
      <alignment horizontal="left" vertical="top" wrapText="1"/>
    </xf>
    <xf numFmtId="0" fontId="16" fillId="0" borderId="18" xfId="0" applyFont="1" applyFill="1" applyBorder="1" applyAlignment="1">
      <alignment horizontal="left" vertical="top" wrapText="1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tabSelected="1" workbookViewId="0">
      <selection activeCell="E24" sqref="E24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6"/>
  <sheetViews>
    <sheetView workbookViewId="0">
      <selection activeCell="D2" sqref="D2"/>
    </sheetView>
  </sheetViews>
  <sheetFormatPr defaultRowHeight="14.25"/>
  <cols>
    <col min="3" max="3" width="6.625" customWidth="1"/>
    <col min="4" max="4" width="17" customWidth="1"/>
    <col min="5" max="9" width="9" style="48"/>
  </cols>
  <sheetData>
    <row r="1" spans="1:9" s="5" customFormat="1" ht="20.100000000000001" customHeight="1">
      <c r="A1" s="6" t="s">
        <v>32</v>
      </c>
      <c r="B1" s="6" t="s">
        <v>24</v>
      </c>
      <c r="C1" s="6" t="s">
        <v>25</v>
      </c>
      <c r="D1" s="2" t="s">
        <v>26</v>
      </c>
      <c r="E1" s="47" t="s">
        <v>27</v>
      </c>
      <c r="F1" s="47" t="s">
        <v>2</v>
      </c>
      <c r="G1" s="47" t="s">
        <v>0</v>
      </c>
      <c r="H1" s="47" t="s">
        <v>28</v>
      </c>
      <c r="I1" s="47" t="s">
        <v>29</v>
      </c>
    </row>
    <row r="2" spans="1:9">
      <c r="A2" s="6" t="s">
        <v>33</v>
      </c>
      <c r="B2" s="38" t="s">
        <v>36</v>
      </c>
      <c r="C2" s="6" t="s">
        <v>34</v>
      </c>
      <c r="D2" s="1" t="s">
        <v>54</v>
      </c>
      <c r="E2" s="47" t="s">
        <v>46</v>
      </c>
      <c r="F2" s="47" t="s">
        <v>38</v>
      </c>
      <c r="G2" s="47" t="s">
        <v>40</v>
      </c>
      <c r="H2" s="47" t="s">
        <v>44</v>
      </c>
      <c r="I2" s="47" t="s">
        <v>42</v>
      </c>
    </row>
    <row r="3" spans="1:9">
      <c r="A3" s="6" t="s">
        <v>37</v>
      </c>
      <c r="B3" s="6" t="s">
        <v>53</v>
      </c>
      <c r="C3" s="6"/>
      <c r="E3" s="47" t="s">
        <v>47</v>
      </c>
      <c r="F3" s="47" t="s">
        <v>39</v>
      </c>
      <c r="G3" s="47" t="s">
        <v>41</v>
      </c>
      <c r="H3" s="47" t="s">
        <v>45</v>
      </c>
      <c r="I3" s="47" t="s">
        <v>43</v>
      </c>
    </row>
    <row r="4" spans="1:9">
      <c r="A4" s="6"/>
      <c r="B4" s="6"/>
      <c r="C4" s="6"/>
      <c r="E4" s="47"/>
      <c r="F4" s="47"/>
      <c r="G4" s="47"/>
      <c r="I4" s="47"/>
    </row>
    <row r="5" spans="1:9">
      <c r="A5" s="6"/>
      <c r="B5" s="6"/>
      <c r="C5" s="6"/>
    </row>
    <row r="6" spans="1:9">
      <c r="A6" s="6"/>
      <c r="B6" s="6"/>
      <c r="C6" s="6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M3"/>
  <sheetViews>
    <sheetView workbookViewId="0">
      <selection activeCell="G22" sqref="G22"/>
    </sheetView>
  </sheetViews>
  <sheetFormatPr defaultRowHeight="11.25"/>
  <cols>
    <col min="1" max="1" width="9" style="52"/>
    <col min="2" max="2" width="10.5" style="42" bestFit="1" customWidth="1"/>
    <col min="3" max="9" width="9" style="41"/>
    <col min="10" max="10" width="18" style="50" customWidth="1"/>
    <col min="11" max="12" width="9" style="41"/>
    <col min="13" max="13" width="5.625" style="41" customWidth="1"/>
    <col min="14" max="16384" width="9" style="46"/>
  </cols>
  <sheetData>
    <row r="1" spans="1:13" ht="29.25" customHeight="1">
      <c r="A1" s="52" t="s">
        <v>3</v>
      </c>
      <c r="B1" s="42" t="s">
        <v>4</v>
      </c>
      <c r="C1" s="43" t="s">
        <v>7</v>
      </c>
      <c r="D1" s="41" t="s">
        <v>5</v>
      </c>
      <c r="E1" s="41" t="s">
        <v>0</v>
      </c>
      <c r="F1" s="41" t="s">
        <v>8</v>
      </c>
      <c r="G1" s="41" t="s">
        <v>2</v>
      </c>
      <c r="H1" s="41" t="s">
        <v>6</v>
      </c>
      <c r="I1" s="44" t="s">
        <v>9</v>
      </c>
      <c r="J1" s="49" t="s">
        <v>30</v>
      </c>
      <c r="K1" s="45" t="s">
        <v>10</v>
      </c>
      <c r="L1" s="45" t="s">
        <v>1</v>
      </c>
      <c r="M1" s="45" t="s">
        <v>31</v>
      </c>
    </row>
    <row r="2" spans="1:13" ht="14.25" customHeight="1">
      <c r="A2" s="52">
        <v>20100001</v>
      </c>
      <c r="B2" s="42">
        <v>40258</v>
      </c>
      <c r="C2" s="43" t="s">
        <v>44</v>
      </c>
      <c r="D2" s="41" t="s">
        <v>46</v>
      </c>
      <c r="E2" s="41" t="s">
        <v>40</v>
      </c>
      <c r="F2" s="1" t="s">
        <v>54</v>
      </c>
      <c r="G2" s="41" t="s">
        <v>38</v>
      </c>
      <c r="H2" s="41" t="s">
        <v>48</v>
      </c>
      <c r="I2" s="44" t="s">
        <v>49</v>
      </c>
      <c r="J2" s="49" t="s">
        <v>50</v>
      </c>
      <c r="K2" s="1" t="s">
        <v>54</v>
      </c>
      <c r="L2" s="45" t="s">
        <v>37</v>
      </c>
      <c r="M2" s="45" t="s">
        <v>34</v>
      </c>
    </row>
    <row r="3" spans="1:13" ht="14.25" customHeight="1">
      <c r="A3" s="52">
        <v>20100002</v>
      </c>
      <c r="B3" s="42">
        <v>40258</v>
      </c>
      <c r="C3" s="43" t="s">
        <v>45</v>
      </c>
      <c r="D3" s="41" t="s">
        <v>47</v>
      </c>
      <c r="E3" s="41" t="s">
        <v>41</v>
      </c>
      <c r="F3" s="1" t="s">
        <v>54</v>
      </c>
      <c r="G3" s="41" t="s">
        <v>39</v>
      </c>
      <c r="H3" s="41" t="s">
        <v>51</v>
      </c>
      <c r="I3" s="44" t="s">
        <v>52</v>
      </c>
      <c r="J3" s="49" t="s">
        <v>43</v>
      </c>
      <c r="K3" s="1" t="s">
        <v>54</v>
      </c>
      <c r="L3" s="45" t="s">
        <v>37</v>
      </c>
      <c r="M3" s="45" t="s">
        <v>34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1:M30"/>
  <sheetViews>
    <sheetView workbookViewId="0">
      <selection activeCell="N7" sqref="N7"/>
    </sheetView>
  </sheetViews>
  <sheetFormatPr defaultRowHeight="14.25"/>
  <cols>
    <col min="1" max="1" width="3" style="3" customWidth="1"/>
    <col min="2" max="2" width="5.375" style="3" customWidth="1"/>
    <col min="3" max="3" width="3.75" style="3" customWidth="1"/>
    <col min="4" max="4" width="7.5" style="3" customWidth="1"/>
    <col min="5" max="5" width="4.125" style="3" customWidth="1"/>
    <col min="6" max="6" width="27" style="3" customWidth="1"/>
    <col min="7" max="7" width="5.75" style="3" customWidth="1"/>
    <col min="8" max="8" width="5" style="3" customWidth="1"/>
    <col min="9" max="10" width="3.375" style="3" customWidth="1"/>
    <col min="11" max="11" width="16.375" style="3" customWidth="1"/>
    <col min="12" max="12" width="2.75" style="3" customWidth="1"/>
    <col min="13" max="13" width="3.625" style="3" customWidth="1"/>
    <col min="14" max="14" width="17.125" style="3" customWidth="1"/>
    <col min="15" max="16384" width="9" style="3"/>
  </cols>
  <sheetData>
    <row r="1" spans="2:13" ht="24.95" customHeight="1">
      <c r="D1" s="7"/>
      <c r="E1" s="7"/>
      <c r="F1" s="60" t="s">
        <v>22</v>
      </c>
      <c r="G1" s="60"/>
      <c r="H1" s="60"/>
      <c r="I1" s="61" t="s">
        <v>35</v>
      </c>
      <c r="J1" s="61"/>
      <c r="K1" s="51">
        <v>20100002</v>
      </c>
    </row>
    <row r="2" spans="2:13" ht="18.75" customHeight="1">
      <c r="F2" s="62">
        <f>IF(ISNA(VLOOKUP(K1,Sheet3!A:M,2,0)),"",VLOOKUP(K1,Sheet3!A:M,2,0))</f>
        <v>40258</v>
      </c>
      <c r="G2" s="62"/>
      <c r="H2" s="62"/>
      <c r="I2" s="62"/>
      <c r="J2" s="62"/>
    </row>
    <row r="3" spans="2:13" ht="27" customHeight="1">
      <c r="C3" s="54" t="s">
        <v>23</v>
      </c>
      <c r="D3" s="54"/>
      <c r="E3" s="54"/>
      <c r="F3" s="63" t="str">
        <f>IF(ISNA(VLOOKUP(K1,Sheet3!A:L,3,0)),"",VLOOKUP(K1,Sheet3!A:L,3,0))</f>
        <v>还款</v>
      </c>
      <c r="G3" s="64"/>
      <c r="H3" s="64"/>
      <c r="I3" s="64"/>
      <c r="J3" s="64"/>
      <c r="K3" s="75"/>
      <c r="L3" s="53" t="s">
        <v>21</v>
      </c>
    </row>
    <row r="4" spans="2:13" ht="21.75" customHeight="1">
      <c r="C4" s="54" t="s">
        <v>5</v>
      </c>
      <c r="D4" s="54"/>
      <c r="E4" s="54"/>
      <c r="F4" s="8" t="str">
        <f>IF(ISNA(VLOOKUP(K1,Sheet3!A:L,4,0)),"",VLOOKUP(K1,Sheet3!A:L,4,0))</f>
        <v>孙二</v>
      </c>
      <c r="G4" s="55" t="s">
        <v>14</v>
      </c>
      <c r="H4" s="56"/>
      <c r="I4" s="56"/>
      <c r="J4" s="57"/>
      <c r="K4" s="39" t="str">
        <f>IF(ISNA(VLOOKUP(K1,Sheet3!A:L,5,0)),"",VLOOKUP(K1,Sheet3!A:L,5,0))</f>
        <v>赵六</v>
      </c>
      <c r="L4" s="53"/>
    </row>
    <row r="5" spans="2:13" ht="21.75" customHeight="1">
      <c r="C5" s="54" t="s">
        <v>8</v>
      </c>
      <c r="D5" s="54"/>
      <c r="E5" s="54"/>
      <c r="F5" s="8" t="str">
        <f>IF(ISNA(VLOOKUP(K1,Sheet3!A:L,6,0)),"",VLOOKUP(K1,Sheet3!A:L,6,0))</f>
        <v>南通市XX有限责任公司</v>
      </c>
      <c r="G5" s="55" t="s">
        <v>13</v>
      </c>
      <c r="H5" s="56"/>
      <c r="I5" s="56"/>
      <c r="J5" s="57"/>
      <c r="K5" s="39" t="str">
        <f>IF(ISNA(VLOOKUP(K1,Sheet3!A:L,7,0)),"",VLOOKUP(K1,Sheet3!A:L,7,0))</f>
        <v>李四</v>
      </c>
      <c r="L5" s="53"/>
    </row>
    <row r="6" spans="2:13" ht="21.75" customHeight="1">
      <c r="C6" s="55" t="s">
        <v>15</v>
      </c>
      <c r="D6" s="56"/>
      <c r="E6" s="57"/>
      <c r="F6" s="63" t="str">
        <f>IF(ISNA(VLOOKUP(K1,Sheet3!A:L,8,0)),"",VLOOKUP(K1,Sheet3!A:L,8,0))</f>
        <v>壹万元整</v>
      </c>
      <c r="G6" s="64"/>
      <c r="H6" s="64"/>
      <c r="I6" s="64"/>
      <c r="J6" s="9" t="s">
        <v>16</v>
      </c>
      <c r="K6" s="10" t="str">
        <f>IF(ISNA(VLOOKUP(K1,Sheet3!A:L,9,0)),"",VLOOKUP(K1,Sheet3!A:L,9,0))</f>
        <v>10000.00</v>
      </c>
      <c r="L6" s="53"/>
    </row>
    <row r="7" spans="2:13" ht="34.5" customHeight="1">
      <c r="C7" s="11" t="s">
        <v>11</v>
      </c>
      <c r="D7" s="65" t="str">
        <f>IF(ISNA(VLOOKUP(K1,Sheet3!A:L,10,0)),"",VLOOKUP(K1,Sheet3!A:L,10,0))</f>
        <v>收还款</v>
      </c>
      <c r="E7" s="66"/>
      <c r="F7" s="66"/>
      <c r="G7" s="67"/>
      <c r="H7" s="71" t="s">
        <v>17</v>
      </c>
      <c r="I7" s="72"/>
      <c r="J7" s="72"/>
      <c r="K7" s="12" t="str">
        <f>IF(ISNA(VLOOKUP(K1,Sheet3!A:L,11,0)),"",VLOOKUP(K1,Sheet3!A:L,11,0))</f>
        <v>南通市XX有限责任公司</v>
      </c>
      <c r="L7" s="53"/>
    </row>
    <row r="8" spans="2:13" ht="34.5" customHeight="1">
      <c r="C8" s="13" t="s">
        <v>12</v>
      </c>
      <c r="D8" s="68"/>
      <c r="E8" s="69"/>
      <c r="F8" s="69"/>
      <c r="G8" s="70"/>
      <c r="H8" s="73" t="s">
        <v>18</v>
      </c>
      <c r="I8" s="74"/>
      <c r="J8" s="74"/>
      <c r="K8" s="14" t="str">
        <f>IF(ISNA(VLOOKUP(K1,Sheet3!A:L,12,0)),"",VLOOKUP(K1,Sheet3!A:L,12,0))</f>
        <v>001</v>
      </c>
      <c r="L8" s="53"/>
    </row>
    <row r="9" spans="2:13" ht="30" customHeight="1">
      <c r="B9" s="4"/>
      <c r="M9" s="4"/>
    </row>
    <row r="10" spans="2:13" ht="25.5" customHeight="1">
      <c r="C10" s="15"/>
      <c r="D10" s="15"/>
      <c r="E10" s="15"/>
      <c r="F10" s="15"/>
      <c r="G10" s="15"/>
      <c r="H10" s="15"/>
      <c r="I10" s="15"/>
      <c r="J10" s="15"/>
      <c r="K10" s="15"/>
      <c r="L10" s="15"/>
    </row>
    <row r="11" spans="2:13" ht="25.5" customHeight="1">
      <c r="C11" s="16"/>
      <c r="D11" s="17"/>
      <c r="E11" s="17"/>
      <c r="F11" s="58" t="s">
        <v>22</v>
      </c>
      <c r="G11" s="58"/>
      <c r="H11" s="58"/>
      <c r="I11" s="59" t="s">
        <v>35</v>
      </c>
      <c r="J11" s="59"/>
      <c r="K11" s="18">
        <f>K1</f>
        <v>20100002</v>
      </c>
      <c r="L11" s="16"/>
    </row>
    <row r="12" spans="2:13" ht="18.75" customHeight="1">
      <c r="C12" s="19"/>
      <c r="D12" s="19"/>
      <c r="E12" s="19"/>
      <c r="F12" s="77">
        <f>F2</f>
        <v>40258</v>
      </c>
      <c r="G12" s="77"/>
      <c r="H12" s="77"/>
      <c r="I12" s="77"/>
      <c r="J12" s="77"/>
      <c r="K12" s="19"/>
      <c r="L12" s="16"/>
    </row>
    <row r="13" spans="2:13" ht="27" customHeight="1">
      <c r="C13" s="78" t="s">
        <v>23</v>
      </c>
      <c r="D13" s="78"/>
      <c r="E13" s="78"/>
      <c r="F13" s="79" t="str">
        <f>F3</f>
        <v>还款</v>
      </c>
      <c r="G13" s="80"/>
      <c r="H13" s="80"/>
      <c r="I13" s="80"/>
      <c r="J13" s="80"/>
      <c r="K13" s="81"/>
      <c r="L13" s="82" t="s">
        <v>19</v>
      </c>
    </row>
    <row r="14" spans="2:13" ht="21.75" customHeight="1">
      <c r="C14" s="78" t="s">
        <v>5</v>
      </c>
      <c r="D14" s="78"/>
      <c r="E14" s="78"/>
      <c r="F14" s="20" t="str">
        <f>F4</f>
        <v>孙二</v>
      </c>
      <c r="G14" s="78" t="s">
        <v>14</v>
      </c>
      <c r="H14" s="78"/>
      <c r="I14" s="78"/>
      <c r="J14" s="78"/>
      <c r="K14" s="40" t="str">
        <f>K4</f>
        <v>赵六</v>
      </c>
      <c r="L14" s="83"/>
    </row>
    <row r="15" spans="2:13" ht="21.75" customHeight="1">
      <c r="C15" s="78" t="s">
        <v>8</v>
      </c>
      <c r="D15" s="78"/>
      <c r="E15" s="78"/>
      <c r="F15" s="20" t="str">
        <f>F5</f>
        <v>南通市XX有限责任公司</v>
      </c>
      <c r="G15" s="78" t="s">
        <v>13</v>
      </c>
      <c r="H15" s="78"/>
      <c r="I15" s="78"/>
      <c r="J15" s="78"/>
      <c r="K15" s="40" t="str">
        <f>K5</f>
        <v>李四</v>
      </c>
      <c r="L15" s="83"/>
    </row>
    <row r="16" spans="2:13" ht="21.75" customHeight="1">
      <c r="C16" s="78" t="s">
        <v>15</v>
      </c>
      <c r="D16" s="78"/>
      <c r="E16" s="78"/>
      <c r="F16" s="85" t="str">
        <f>F6</f>
        <v>壹万元整</v>
      </c>
      <c r="G16" s="85"/>
      <c r="H16" s="85"/>
      <c r="I16" s="79"/>
      <c r="J16" s="21" t="s">
        <v>16</v>
      </c>
      <c r="K16" s="22" t="str">
        <f>K6</f>
        <v>10000.00</v>
      </c>
      <c r="L16" s="83"/>
    </row>
    <row r="17" spans="2:13" ht="34.5" customHeight="1">
      <c r="C17" s="23" t="s">
        <v>11</v>
      </c>
      <c r="D17" s="86" t="str">
        <f>D7</f>
        <v>收还款</v>
      </c>
      <c r="E17" s="87"/>
      <c r="F17" s="87"/>
      <c r="G17" s="88"/>
      <c r="H17" s="92" t="s">
        <v>17</v>
      </c>
      <c r="I17" s="93"/>
      <c r="J17" s="93"/>
      <c r="K17" s="24" t="str">
        <f>K7</f>
        <v>南通市XX有限责任公司</v>
      </c>
      <c r="L17" s="83"/>
    </row>
    <row r="18" spans="2:13" ht="34.5" customHeight="1">
      <c r="C18" s="25" t="s">
        <v>12</v>
      </c>
      <c r="D18" s="89"/>
      <c r="E18" s="90"/>
      <c r="F18" s="90"/>
      <c r="G18" s="91"/>
      <c r="H18" s="94" t="s">
        <v>18</v>
      </c>
      <c r="I18" s="95"/>
      <c r="J18" s="95"/>
      <c r="K18" s="26" t="str">
        <f>K8</f>
        <v>001</v>
      </c>
      <c r="L18" s="84"/>
    </row>
    <row r="19" spans="2:13" ht="30" customHeight="1">
      <c r="B19" s="4"/>
      <c r="M19" s="4"/>
    </row>
    <row r="20" spans="2:13" ht="25.5" customHeight="1">
      <c r="C20" s="15"/>
      <c r="D20" s="15"/>
      <c r="E20" s="15"/>
      <c r="F20" s="15"/>
      <c r="G20" s="15"/>
      <c r="H20" s="15"/>
      <c r="I20" s="15"/>
      <c r="J20" s="15"/>
      <c r="K20" s="15"/>
      <c r="L20" s="15"/>
    </row>
    <row r="21" spans="2:13" ht="25.5" customHeight="1">
      <c r="C21" s="27"/>
      <c r="D21" s="28"/>
      <c r="E21" s="28"/>
      <c r="F21" s="96" t="s">
        <v>22</v>
      </c>
      <c r="G21" s="96"/>
      <c r="H21" s="96"/>
      <c r="I21" s="97" t="s">
        <v>35</v>
      </c>
      <c r="J21" s="97"/>
      <c r="K21" s="29">
        <f>K1</f>
        <v>20100002</v>
      </c>
      <c r="L21" s="27"/>
    </row>
    <row r="22" spans="2:13" ht="18.75" customHeight="1">
      <c r="C22" s="27"/>
      <c r="D22" s="27"/>
      <c r="E22" s="27"/>
      <c r="F22" s="76">
        <f>F2</f>
        <v>40258</v>
      </c>
      <c r="G22" s="76"/>
      <c r="H22" s="76"/>
      <c r="I22" s="76"/>
      <c r="J22" s="76"/>
      <c r="K22" s="27"/>
      <c r="L22" s="27"/>
    </row>
    <row r="23" spans="2:13" ht="27" customHeight="1">
      <c r="C23" s="102" t="s">
        <v>23</v>
      </c>
      <c r="D23" s="102"/>
      <c r="E23" s="102"/>
      <c r="F23" s="103" t="str">
        <f>F3</f>
        <v>还款</v>
      </c>
      <c r="G23" s="104"/>
      <c r="H23" s="104"/>
      <c r="I23" s="104"/>
      <c r="J23" s="104"/>
      <c r="K23" s="105"/>
      <c r="L23" s="106" t="s">
        <v>20</v>
      </c>
    </row>
    <row r="24" spans="2:13" ht="21.75" customHeight="1">
      <c r="C24" s="102" t="s">
        <v>5</v>
      </c>
      <c r="D24" s="102"/>
      <c r="E24" s="102"/>
      <c r="F24" s="30" t="str">
        <f>F4</f>
        <v>孙二</v>
      </c>
      <c r="G24" s="102" t="s">
        <v>14</v>
      </c>
      <c r="H24" s="102"/>
      <c r="I24" s="102"/>
      <c r="J24" s="102"/>
      <c r="K24" s="30" t="str">
        <f>K4</f>
        <v>赵六</v>
      </c>
      <c r="L24" s="106"/>
    </row>
    <row r="25" spans="2:13" ht="21.75" customHeight="1">
      <c r="C25" s="102" t="s">
        <v>8</v>
      </c>
      <c r="D25" s="102"/>
      <c r="E25" s="102"/>
      <c r="F25" s="30" t="str">
        <f>F5</f>
        <v>南通市XX有限责任公司</v>
      </c>
      <c r="G25" s="102" t="s">
        <v>13</v>
      </c>
      <c r="H25" s="102"/>
      <c r="I25" s="102"/>
      <c r="J25" s="102"/>
      <c r="K25" s="30" t="str">
        <f>K5</f>
        <v>李四</v>
      </c>
      <c r="L25" s="106"/>
    </row>
    <row r="26" spans="2:13" ht="21.75" customHeight="1">
      <c r="C26" s="102" t="s">
        <v>15</v>
      </c>
      <c r="D26" s="102"/>
      <c r="E26" s="102"/>
      <c r="F26" s="107" t="str">
        <f>F6</f>
        <v>壹万元整</v>
      </c>
      <c r="G26" s="107"/>
      <c r="H26" s="107"/>
      <c r="I26" s="103"/>
      <c r="J26" s="31" t="s">
        <v>16</v>
      </c>
      <c r="K26" s="32" t="str">
        <f>K6</f>
        <v>10000.00</v>
      </c>
      <c r="L26" s="106"/>
    </row>
    <row r="27" spans="2:13" ht="34.5" customHeight="1">
      <c r="C27" s="33" t="s">
        <v>11</v>
      </c>
      <c r="D27" s="108" t="str">
        <f>D7</f>
        <v>收还款</v>
      </c>
      <c r="E27" s="109"/>
      <c r="F27" s="109"/>
      <c r="G27" s="110"/>
      <c r="H27" s="98" t="s">
        <v>17</v>
      </c>
      <c r="I27" s="99"/>
      <c r="J27" s="99"/>
      <c r="K27" s="34" t="str">
        <f>K7</f>
        <v>南通市XX有限责任公司</v>
      </c>
      <c r="L27" s="106"/>
    </row>
    <row r="28" spans="2:13" ht="34.5" customHeight="1">
      <c r="C28" s="35" t="s">
        <v>12</v>
      </c>
      <c r="D28" s="111"/>
      <c r="E28" s="112"/>
      <c r="F28" s="112"/>
      <c r="G28" s="113"/>
      <c r="H28" s="100" t="s">
        <v>18</v>
      </c>
      <c r="I28" s="101"/>
      <c r="J28" s="101"/>
      <c r="K28" s="36" t="str">
        <f>K8</f>
        <v>001</v>
      </c>
      <c r="L28" s="106"/>
    </row>
    <row r="29" spans="2:13" ht="30" customHeight="1"/>
    <row r="30" spans="2:13" ht="20.25" customHeight="1"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</row>
  </sheetData>
  <mergeCells count="45">
    <mergeCell ref="H27:J27"/>
    <mergeCell ref="H28:J28"/>
    <mergeCell ref="C23:E23"/>
    <mergeCell ref="F23:K23"/>
    <mergeCell ref="L23:L28"/>
    <mergeCell ref="C24:E24"/>
    <mergeCell ref="G24:J24"/>
    <mergeCell ref="C25:E25"/>
    <mergeCell ref="G25:J25"/>
    <mergeCell ref="C26:E26"/>
    <mergeCell ref="F26:I26"/>
    <mergeCell ref="D27:G28"/>
    <mergeCell ref="F22:J22"/>
    <mergeCell ref="F12:J12"/>
    <mergeCell ref="C13:E13"/>
    <mergeCell ref="F13:K13"/>
    <mergeCell ref="L13:L18"/>
    <mergeCell ref="C14:E14"/>
    <mergeCell ref="G14:J14"/>
    <mergeCell ref="C15:E15"/>
    <mergeCell ref="G15:J15"/>
    <mergeCell ref="C16:E16"/>
    <mergeCell ref="F16:I16"/>
    <mergeCell ref="D17:G18"/>
    <mergeCell ref="H17:J17"/>
    <mergeCell ref="H18:J18"/>
    <mergeCell ref="F21:H21"/>
    <mergeCell ref="I21:J21"/>
    <mergeCell ref="F11:H11"/>
    <mergeCell ref="I11:J11"/>
    <mergeCell ref="F1:H1"/>
    <mergeCell ref="I1:J1"/>
    <mergeCell ref="F2:J2"/>
    <mergeCell ref="F6:I6"/>
    <mergeCell ref="D7:G8"/>
    <mergeCell ref="H7:J7"/>
    <mergeCell ref="H8:J8"/>
    <mergeCell ref="C3:E3"/>
    <mergeCell ref="F3:K3"/>
    <mergeCell ref="L3:L8"/>
    <mergeCell ref="C4:E4"/>
    <mergeCell ref="G4:J4"/>
    <mergeCell ref="C5:E5"/>
    <mergeCell ref="G5:J5"/>
    <mergeCell ref="C6:E6"/>
  </mergeCells>
  <phoneticPr fontId="1" type="noConversion"/>
  <printOptions horizontalCentered="1"/>
  <pageMargins left="0.39370078740157483" right="0.39370078740157483" top="0.39370078740157483" bottom="0.39370078740157483" header="0.31496062992125984" footer="0.31496062992125984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Sheet4!Print_Area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袁竹平</dc:creator>
  <cp:lastModifiedBy>袁竹平</cp:lastModifiedBy>
  <cp:lastPrinted>2010-03-24T11:18:07Z</cp:lastPrinted>
  <dcterms:created xsi:type="dcterms:W3CDTF">2006-10-20T00:33:09Z</dcterms:created>
  <dcterms:modified xsi:type="dcterms:W3CDTF">2010-03-31T03:10:23Z</dcterms:modified>
</cp:coreProperties>
</file>