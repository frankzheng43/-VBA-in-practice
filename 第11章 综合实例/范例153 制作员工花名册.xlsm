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4940" windowHeight="9225"/>
  </bookViews>
  <sheets>
    <sheet name="花名册" sheetId="1" r:id="rId1"/>
    <sheet name="筛选数据" sheetId="10" r:id="rId2"/>
  </sheets>
  <definedNames>
    <definedName name="_xlnm._FilterDatabase" localSheetId="0" hidden="1">花名册!$A$5:$J$83</definedName>
    <definedName name="_xlnm._FilterDatabase" localSheetId="1" hidden="1">筛选数据!#REF!</definedName>
    <definedName name="_xlnm.Extract" localSheetId="0">花名册!#REF!</definedName>
    <definedName name="_xlnm.Extract" localSheetId="1">筛选数据!#REF!</definedName>
    <definedName name="_xlnm.Print_Titles" localSheetId="0">花名册!$1:$5</definedName>
    <definedName name="_xlnm.Print_Titles" localSheetId="1">筛选数据!$1:$5</definedName>
  </definedNames>
  <calcPr calcId="125725"/>
</workbook>
</file>

<file path=xl/calcChain.xml><?xml version="1.0" encoding="utf-8"?>
<calcChain xmlns="http://schemas.openxmlformats.org/spreadsheetml/2006/main">
  <c r="A6" i="10"/>
  <c r="A7"/>
  <c r="A8"/>
  <c r="A9"/>
  <c r="A10"/>
  <c r="E76" i="1"/>
  <c r="A76"/>
  <c r="E73"/>
  <c r="A73"/>
  <c r="E63"/>
  <c r="A63"/>
  <c r="E57"/>
  <c r="A57"/>
  <c r="E44"/>
  <c r="A44"/>
  <c r="E33"/>
  <c r="A33"/>
  <c r="E26"/>
  <c r="A26"/>
  <c r="E22"/>
  <c r="A22"/>
  <c r="E21"/>
  <c r="A21"/>
  <c r="E17"/>
  <c r="A17"/>
  <c r="E12"/>
  <c r="A12"/>
  <c r="E6"/>
  <c r="A6"/>
  <c r="E10"/>
  <c r="A10"/>
  <c r="E11"/>
  <c r="A11"/>
  <c r="E13"/>
  <c r="A13"/>
  <c r="E14"/>
  <c r="A14"/>
  <c r="E15"/>
  <c r="A15"/>
  <c r="E16"/>
  <c r="A16"/>
  <c r="E18"/>
  <c r="A18"/>
  <c r="E19"/>
  <c r="A19"/>
  <c r="E20"/>
  <c r="A20"/>
  <c r="E23"/>
  <c r="A23"/>
  <c r="E24"/>
  <c r="A24"/>
  <c r="E25"/>
  <c r="A25"/>
  <c r="E27"/>
  <c r="A27"/>
  <c r="E28"/>
  <c r="A28"/>
  <c r="E29"/>
  <c r="A29"/>
  <c r="E30"/>
  <c r="A30"/>
  <c r="E31"/>
  <c r="A31"/>
  <c r="E32"/>
  <c r="A32"/>
  <c r="E34"/>
  <c r="A34"/>
  <c r="E35"/>
  <c r="A35"/>
  <c r="E36"/>
  <c r="A36"/>
  <c r="E37"/>
  <c r="A37"/>
  <c r="E38"/>
  <c r="A38"/>
  <c r="E39"/>
  <c r="A39"/>
  <c r="E40"/>
  <c r="A40"/>
  <c r="E41"/>
  <c r="A41"/>
  <c r="E42"/>
  <c r="A42"/>
  <c r="E43"/>
  <c r="A43"/>
  <c r="E45"/>
  <c r="A45"/>
  <c r="E46"/>
  <c r="A46"/>
  <c r="E47"/>
  <c r="A47"/>
  <c r="E48"/>
  <c r="A48"/>
  <c r="E49"/>
  <c r="A49"/>
  <c r="E50"/>
  <c r="A50"/>
  <c r="E51"/>
  <c r="A51"/>
  <c r="E52"/>
  <c r="A52"/>
  <c r="E53"/>
  <c r="A53"/>
  <c r="E54"/>
  <c r="A54"/>
  <c r="E55"/>
  <c r="A55"/>
  <c r="E56"/>
  <c r="A56"/>
  <c r="E58"/>
  <c r="A58"/>
  <c r="E59"/>
  <c r="A59"/>
  <c r="E60"/>
  <c r="A60"/>
  <c r="E61"/>
  <c r="A61"/>
  <c r="E62"/>
  <c r="A62"/>
  <c r="E64"/>
  <c r="A64"/>
  <c r="E65"/>
  <c r="A65"/>
  <c r="E66"/>
  <c r="A66"/>
  <c r="E67"/>
  <c r="A67"/>
  <c r="E68"/>
  <c r="A68"/>
  <c r="E69"/>
  <c r="A69"/>
  <c r="E70"/>
  <c r="A70"/>
  <c r="E71"/>
  <c r="A71"/>
  <c r="E72"/>
  <c r="A72"/>
  <c r="E74"/>
  <c r="A74"/>
  <c r="E75"/>
  <c r="A75"/>
  <c r="E77"/>
  <c r="A77"/>
  <c r="E78"/>
  <c r="A78"/>
  <c r="E79"/>
  <c r="A79"/>
  <c r="E80"/>
  <c r="A80"/>
  <c r="E81"/>
  <c r="A81"/>
  <c r="E82"/>
  <c r="A82"/>
  <c r="E9"/>
  <c r="A9"/>
  <c r="E8"/>
  <c r="A8"/>
  <c r="E7"/>
  <c r="A7"/>
  <c r="H3"/>
  <c r="A1" i="10"/>
  <c r="H3"/>
  <c r="H2"/>
  <c r="E83" i="1"/>
  <c r="A83"/>
  <c r="H2" l="1"/>
</calcChain>
</file>

<file path=xl/sharedStrings.xml><?xml version="1.0" encoding="utf-8"?>
<sst xmlns="http://schemas.openxmlformats.org/spreadsheetml/2006/main" count="592" uniqueCount="179">
  <si>
    <t>退休</t>
  </si>
  <si>
    <t>在职</t>
  </si>
  <si>
    <t>320624195701140032</t>
  </si>
  <si>
    <t>出生年月</t>
    <phoneticPr fontId="2" type="noConversion"/>
  </si>
  <si>
    <t>部门</t>
    <phoneticPr fontId="2" type="noConversion"/>
  </si>
  <si>
    <t>办公室</t>
  </si>
  <si>
    <t>营业部</t>
  </si>
  <si>
    <t>经理室</t>
  </si>
  <si>
    <t>生技科</t>
  </si>
  <si>
    <t>其他</t>
  </si>
  <si>
    <t>财务科</t>
  </si>
  <si>
    <t>男</t>
  </si>
  <si>
    <t>职称</t>
    <phoneticPr fontId="2" type="noConversion"/>
  </si>
  <si>
    <t>备注</t>
    <phoneticPr fontId="2" type="noConversion"/>
  </si>
  <si>
    <t>职务</t>
    <phoneticPr fontId="2" type="noConversion"/>
  </si>
  <si>
    <t>协理员</t>
  </si>
  <si>
    <t>经理</t>
  </si>
  <si>
    <t>副经理</t>
  </si>
  <si>
    <t>女</t>
  </si>
  <si>
    <t>班组长</t>
  </si>
  <si>
    <t>收费员</t>
  </si>
  <si>
    <t>驾驶员</t>
  </si>
  <si>
    <t>中层正职</t>
  </si>
  <si>
    <t>高级会计师</t>
  </si>
  <si>
    <t>中层副职</t>
  </si>
  <si>
    <t>抄表工</t>
  </si>
  <si>
    <t>内退</t>
  </si>
  <si>
    <t>总账会计</t>
  </si>
  <si>
    <t>会计员</t>
  </si>
  <si>
    <t>辅助会计</t>
  </si>
  <si>
    <t>科档员</t>
  </si>
  <si>
    <t>拆表工</t>
  </si>
  <si>
    <t>征收收费</t>
  </si>
  <si>
    <t>工程师</t>
  </si>
  <si>
    <t>经济师</t>
  </si>
  <si>
    <t>总帐会计</t>
  </si>
  <si>
    <t>外借</t>
  </si>
  <si>
    <t>出纳会计</t>
  </si>
  <si>
    <t>办事员</t>
  </si>
  <si>
    <t>会计师</t>
  </si>
  <si>
    <t>监察队员</t>
  </si>
  <si>
    <t>技术员</t>
  </si>
  <si>
    <t>校表工</t>
  </si>
  <si>
    <t>计量员</t>
  </si>
  <si>
    <t>管理员</t>
  </si>
  <si>
    <t>姓名</t>
    <phoneticPr fontId="2" type="noConversion"/>
  </si>
  <si>
    <t>身份证号码</t>
    <phoneticPr fontId="2" type="noConversion"/>
  </si>
  <si>
    <t>支书</t>
  </si>
  <si>
    <t>经理助理</t>
  </si>
  <si>
    <t>320624195604180032</t>
    <phoneticPr fontId="2" type="noConversion"/>
  </si>
  <si>
    <t>320624196409020038</t>
    <phoneticPr fontId="2" type="noConversion"/>
  </si>
  <si>
    <t>320624197401240049</t>
    <phoneticPr fontId="2" type="noConversion"/>
  </si>
  <si>
    <t>320624197404170058</t>
    <phoneticPr fontId="2" type="noConversion"/>
  </si>
  <si>
    <t>320602197506160020</t>
    <phoneticPr fontId="2" type="noConversion"/>
  </si>
  <si>
    <t>320624194911040350</t>
    <phoneticPr fontId="2" type="noConversion"/>
  </si>
  <si>
    <t>320624195610260012</t>
    <phoneticPr fontId="2" type="noConversion"/>
  </si>
  <si>
    <t>320624196005180027</t>
    <phoneticPr fontId="2" type="noConversion"/>
  </si>
  <si>
    <t>320624197103246020</t>
    <phoneticPr fontId="2" type="noConversion"/>
  </si>
  <si>
    <t>320624197202090041</t>
    <phoneticPr fontId="2" type="noConversion"/>
  </si>
  <si>
    <t>320683197810193183</t>
    <phoneticPr fontId="2" type="noConversion"/>
  </si>
  <si>
    <t>320624195108170011</t>
    <phoneticPr fontId="2" type="noConversion"/>
  </si>
  <si>
    <t>320624196302070027</t>
    <phoneticPr fontId="2" type="noConversion"/>
  </si>
  <si>
    <t>320624196908080078</t>
    <phoneticPr fontId="2" type="noConversion"/>
  </si>
  <si>
    <t>320624195504090021</t>
    <phoneticPr fontId="2" type="noConversion"/>
  </si>
  <si>
    <t>320624195804250015</t>
    <phoneticPr fontId="2" type="noConversion"/>
  </si>
  <si>
    <t>320624195904090020</t>
    <phoneticPr fontId="2" type="noConversion"/>
  </si>
  <si>
    <t>320624196809162625</t>
    <phoneticPr fontId="2" type="noConversion"/>
  </si>
  <si>
    <t>320624197104030010</t>
    <phoneticPr fontId="2" type="noConversion"/>
  </si>
  <si>
    <t>320624197509270020</t>
    <phoneticPr fontId="2" type="noConversion"/>
  </si>
  <si>
    <t>320624195102190011</t>
    <phoneticPr fontId="2" type="noConversion"/>
  </si>
  <si>
    <t>320624195306120015</t>
    <phoneticPr fontId="2" type="noConversion"/>
  </si>
  <si>
    <t>320624195510260031</t>
    <phoneticPr fontId="2" type="noConversion"/>
  </si>
  <si>
    <t>320624196201040072</t>
    <phoneticPr fontId="2" type="noConversion"/>
  </si>
  <si>
    <t>320624196402220010</t>
    <phoneticPr fontId="2" type="noConversion"/>
  </si>
  <si>
    <t>320624196405170020</t>
    <phoneticPr fontId="2" type="noConversion"/>
  </si>
  <si>
    <t>320624196501260018</t>
    <phoneticPr fontId="2" type="noConversion"/>
  </si>
  <si>
    <t>320624196607162854</t>
    <phoneticPr fontId="2" type="noConversion"/>
  </si>
  <si>
    <t>320624196612160044</t>
    <phoneticPr fontId="2" type="noConversion"/>
  </si>
  <si>
    <t>320624196802020069</t>
    <phoneticPr fontId="2" type="noConversion"/>
  </si>
  <si>
    <t>320624196905170035</t>
    <phoneticPr fontId="2" type="noConversion"/>
  </si>
  <si>
    <t>320624197312230076</t>
    <phoneticPr fontId="2" type="noConversion"/>
  </si>
  <si>
    <t>320624197406287540</t>
    <phoneticPr fontId="2" type="noConversion"/>
  </si>
  <si>
    <t>320624197602040019</t>
    <phoneticPr fontId="2" type="noConversion"/>
  </si>
  <si>
    <t>320624197610170024</t>
    <phoneticPr fontId="2" type="noConversion"/>
  </si>
  <si>
    <t>321001197805280016</t>
    <phoneticPr fontId="2" type="noConversion"/>
  </si>
  <si>
    <t>320683197901110224</t>
    <phoneticPr fontId="2" type="noConversion"/>
  </si>
  <si>
    <t>320683197908240152</t>
    <phoneticPr fontId="2" type="noConversion"/>
  </si>
  <si>
    <t>320683198006230013</t>
    <phoneticPr fontId="2" type="noConversion"/>
  </si>
  <si>
    <t>320683198012070060</t>
    <phoneticPr fontId="2" type="noConversion"/>
  </si>
  <si>
    <t>320624195308205370</t>
    <phoneticPr fontId="2" type="noConversion"/>
  </si>
  <si>
    <t>320624195502260031</t>
    <phoneticPr fontId="2" type="noConversion"/>
  </si>
  <si>
    <t>320624195706220015</t>
    <phoneticPr fontId="2" type="noConversion"/>
  </si>
  <si>
    <t>320683198311240066</t>
    <phoneticPr fontId="2" type="noConversion"/>
  </si>
  <si>
    <t>320624194608270057</t>
    <phoneticPr fontId="2" type="noConversion"/>
  </si>
  <si>
    <t>320624194802042429</t>
    <phoneticPr fontId="2" type="noConversion"/>
  </si>
  <si>
    <t>320624194805190013</t>
    <phoneticPr fontId="2" type="noConversion"/>
  </si>
  <si>
    <t>320624194810240011</t>
    <phoneticPr fontId="2" type="noConversion"/>
  </si>
  <si>
    <t>320624194812210043</t>
    <phoneticPr fontId="2" type="noConversion"/>
  </si>
  <si>
    <t>320624195007290049</t>
    <phoneticPr fontId="2" type="noConversion"/>
  </si>
  <si>
    <t>320624195008290024</t>
    <phoneticPr fontId="2" type="noConversion"/>
  </si>
  <si>
    <t>320624195105070023</t>
    <phoneticPr fontId="2" type="noConversion"/>
  </si>
  <si>
    <t>行政科</t>
  </si>
  <si>
    <t>姓名</t>
    <phoneticPr fontId="2" type="noConversion"/>
  </si>
  <si>
    <t>出生年月</t>
    <phoneticPr fontId="2" type="noConversion"/>
  </si>
  <si>
    <t>身份证号码</t>
    <phoneticPr fontId="2" type="noConversion"/>
  </si>
  <si>
    <t>职称</t>
    <phoneticPr fontId="2" type="noConversion"/>
  </si>
  <si>
    <t>部门</t>
    <phoneticPr fontId="2" type="noConversion"/>
  </si>
  <si>
    <t>职务</t>
    <phoneticPr fontId="2" type="noConversion"/>
  </si>
  <si>
    <t>备注</t>
    <phoneticPr fontId="2" type="noConversion"/>
  </si>
  <si>
    <t>序
号</t>
    <phoneticPr fontId="2" type="noConversion"/>
  </si>
  <si>
    <t>性
别</t>
    <phoneticPr fontId="2" type="noConversion"/>
  </si>
  <si>
    <t>年
龄</t>
    <phoneticPr fontId="2" type="noConversion"/>
  </si>
  <si>
    <t>李XX</t>
  </si>
  <si>
    <t>邱XX</t>
  </si>
  <si>
    <t>王XX</t>
  </si>
  <si>
    <t>葛XX</t>
  </si>
  <si>
    <t>徐XX</t>
  </si>
  <si>
    <t>陈XX</t>
  </si>
  <si>
    <t>张XX</t>
  </si>
  <si>
    <t>顾XX</t>
  </si>
  <si>
    <t>季XX</t>
  </si>
  <si>
    <t>吴XX</t>
  </si>
  <si>
    <t>钱XX</t>
  </si>
  <si>
    <t>姜XX</t>
  </si>
  <si>
    <t>袁XX</t>
  </si>
  <si>
    <t>于XX</t>
  </si>
  <si>
    <t>刘XX</t>
  </si>
  <si>
    <t>曹XX</t>
  </si>
  <si>
    <t>孙XX</t>
  </si>
  <si>
    <t>陆XX</t>
  </si>
  <si>
    <t>马XX</t>
  </si>
  <si>
    <t>朱XX</t>
  </si>
  <si>
    <t>胡XX</t>
  </si>
  <si>
    <t>丁XX</t>
  </si>
  <si>
    <t>沈XX</t>
  </si>
  <si>
    <t>秦XX</t>
  </si>
  <si>
    <t>江XX</t>
  </si>
  <si>
    <t>瞿XX</t>
  </si>
  <si>
    <t>华XX</t>
  </si>
  <si>
    <t>范XX</t>
  </si>
  <si>
    <t>南通市XX有限责任公司员工花名册</t>
    <phoneticPr fontId="2" type="noConversion"/>
  </si>
  <si>
    <t>会计师</t>
    <phoneticPr fontId="2" type="noConversion"/>
  </si>
  <si>
    <t>无</t>
  </si>
  <si>
    <t>助理经济师</t>
  </si>
  <si>
    <t>助理会计师</t>
  </si>
  <si>
    <t>助理工程师</t>
  </si>
  <si>
    <t>女</t>
    <phoneticPr fontId="2" type="noConversion"/>
  </si>
  <si>
    <t>320683198310280031</t>
    <phoneticPr fontId="2" type="noConversion"/>
  </si>
  <si>
    <t>男</t>
    <phoneticPr fontId="2" type="noConversion"/>
  </si>
  <si>
    <t>320624194910140106</t>
    <phoneticPr fontId="2" type="noConversion"/>
  </si>
  <si>
    <t>320624195012010048</t>
    <phoneticPr fontId="2" type="noConversion"/>
  </si>
  <si>
    <t>320624195108170011</t>
  </si>
  <si>
    <t>320624195104270015</t>
    <phoneticPr fontId="2" type="noConversion"/>
  </si>
  <si>
    <t>630103195508011224</t>
    <phoneticPr fontId="2" type="noConversion"/>
  </si>
  <si>
    <t>320624195701140032</t>
    <phoneticPr fontId="2" type="noConversion"/>
  </si>
  <si>
    <t>320624196110290025</t>
    <phoneticPr fontId="2" type="noConversion"/>
  </si>
  <si>
    <t>320624196302070027</t>
  </si>
  <si>
    <t>320624196602150061</t>
    <phoneticPr fontId="2" type="noConversion"/>
  </si>
  <si>
    <t>320624196810170024</t>
    <phoneticPr fontId="2" type="noConversion"/>
  </si>
  <si>
    <t>320624196908080078</t>
  </si>
  <si>
    <t>320624197104087420</t>
    <phoneticPr fontId="2" type="noConversion"/>
  </si>
  <si>
    <t>320683197101062252</t>
    <phoneticPr fontId="2" type="noConversion"/>
  </si>
  <si>
    <t>320624197510040011</t>
    <phoneticPr fontId="2" type="noConversion"/>
  </si>
  <si>
    <t>320624197711020025</t>
    <phoneticPr fontId="2" type="noConversion"/>
  </si>
  <si>
    <t>320683198002205312</t>
    <phoneticPr fontId="2" type="noConversion"/>
  </si>
  <si>
    <t>320683198309220046</t>
    <phoneticPr fontId="2" type="noConversion"/>
  </si>
  <si>
    <t>320683197910270220</t>
    <phoneticPr fontId="2" type="noConversion"/>
  </si>
  <si>
    <t>320624197707110015</t>
    <phoneticPr fontId="2" type="noConversion"/>
  </si>
  <si>
    <t>320624197507230056</t>
    <phoneticPr fontId="2" type="noConversion"/>
  </si>
  <si>
    <t>320624197508250014</t>
    <phoneticPr fontId="2" type="noConversion"/>
  </si>
  <si>
    <t>320624197406200618</t>
    <phoneticPr fontId="2" type="noConversion"/>
  </si>
  <si>
    <t>男</t>
    <phoneticPr fontId="2" type="noConversion"/>
  </si>
  <si>
    <t>320624197103180056</t>
    <phoneticPr fontId="2" type="noConversion"/>
  </si>
  <si>
    <t>320624196509060071</t>
    <phoneticPr fontId="2" type="noConversion"/>
  </si>
  <si>
    <t>320624195712020012</t>
  </si>
  <si>
    <t>320624195712020012</t>
    <phoneticPr fontId="2" type="noConversion"/>
  </si>
  <si>
    <t>320624195407230233</t>
    <phoneticPr fontId="2" type="noConversion"/>
  </si>
  <si>
    <t>320624195009030034</t>
    <phoneticPr fontId="2" type="noConversion"/>
  </si>
  <si>
    <t>320624195103110017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</si>
</sst>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yyyy/mm/dd"/>
  </numFmts>
  <fonts count="11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20"/>
      <name val="黑体"/>
      <charset val="134"/>
    </font>
    <font>
      <b/>
      <sz val="18"/>
      <name val="黑体"/>
      <charset val="134"/>
    </font>
    <font>
      <b/>
      <sz val="12"/>
      <name val="仿宋_GB2312"/>
      <family val="3"/>
      <charset val="134"/>
    </font>
    <font>
      <sz val="10"/>
      <name val="Times New Roman"/>
      <family val="1"/>
    </font>
    <font>
      <sz val="9"/>
      <name val="宋体"/>
      <family val="3"/>
      <charset val="134"/>
    </font>
    <font>
      <b/>
      <sz val="20"/>
      <name val="黑体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79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Continuous" vertical="center"/>
    </xf>
    <xf numFmtId="49" fontId="0" fillId="0" borderId="0" xfId="0" applyNumberFormat="1" applyBorder="1" applyAlignment="1">
      <alignment horizontal="centerContinuous" vertical="center"/>
    </xf>
    <xf numFmtId="0" fontId="4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vertical="center"/>
    </xf>
    <xf numFmtId="176" fontId="5" fillId="0" borderId="0" xfId="0" applyNumberFormat="1" applyFont="1" applyBorder="1" applyAlignment="1">
      <alignment vertical="center"/>
    </xf>
    <xf numFmtId="176" fontId="0" fillId="0" borderId="0" xfId="0" applyNumberFormat="1" applyBorder="1" applyAlignment="1">
      <alignment horizontal="centerContinuous" vertical="center"/>
    </xf>
    <xf numFmtId="0" fontId="6" fillId="0" borderId="1" xfId="0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1" applyNumberFormat="1" applyFont="1" applyBorder="1" applyAlignment="1" applyProtection="1">
      <alignment horizontal="center"/>
      <protection hidden="1"/>
    </xf>
    <xf numFmtId="176" fontId="3" fillId="0" borderId="1" xfId="1" applyNumberFormat="1" applyFont="1" applyBorder="1" applyAlignment="1" applyProtection="1">
      <alignment horizontal="center"/>
      <protection hidden="1"/>
    </xf>
    <xf numFmtId="49" fontId="3" fillId="0" borderId="1" xfId="1" applyNumberFormat="1" applyFont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/>
      <protection locked="0"/>
    </xf>
    <xf numFmtId="0" fontId="3" fillId="0" borderId="1" xfId="1" applyNumberFormat="1" applyFont="1" applyBorder="1" applyAlignment="1" applyProtection="1">
      <alignment horizontal="center"/>
      <protection locked="0"/>
    </xf>
    <xf numFmtId="49" fontId="3" fillId="0" borderId="1" xfId="0" applyNumberFormat="1" applyFont="1" applyBorder="1" applyAlignment="1" applyProtection="1">
      <alignment horizont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176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1" applyNumberFormat="1" applyFont="1" applyBorder="1" applyAlignment="1" applyProtection="1">
      <alignment horizontal="center"/>
      <protection hidden="1"/>
    </xf>
    <xf numFmtId="176" fontId="3" fillId="0" borderId="0" xfId="1" applyNumberFormat="1" applyFont="1" applyBorder="1" applyAlignment="1" applyProtection="1">
      <alignment horizontal="center"/>
      <protection hidden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Continuous" vertical="center"/>
    </xf>
    <xf numFmtId="0" fontId="0" fillId="0" borderId="0" xfId="0" applyBorder="1" applyProtection="1">
      <alignment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Continuous" vertical="center"/>
      <protection hidden="1"/>
    </xf>
    <xf numFmtId="0" fontId="0" fillId="0" borderId="0" xfId="0" applyBorder="1" applyAlignment="1" applyProtection="1">
      <alignment horizontal="centerContinuous" vertical="center"/>
      <protection hidden="1"/>
    </xf>
    <xf numFmtId="176" fontId="5" fillId="0" borderId="0" xfId="0" applyNumberFormat="1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3" fillId="0" borderId="1" xfId="0" applyNumberFormat="1" applyFont="1" applyBorder="1" applyAlignment="1" applyProtection="1">
      <alignment horizontal="centerContinuous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176" fontId="0" fillId="0" borderId="0" xfId="0" applyNumberFormat="1" applyBorder="1" applyAlignment="1" applyProtection="1">
      <alignment horizontal="centerContinuous" vertical="center"/>
      <protection hidden="1"/>
    </xf>
    <xf numFmtId="49" fontId="0" fillId="0" borderId="0" xfId="0" applyNumberFormat="1" applyBorder="1" applyAlignment="1" applyProtection="1">
      <alignment horizontal="centerContinuous" vertical="center"/>
      <protection hidden="1"/>
    </xf>
    <xf numFmtId="0" fontId="4" fillId="0" borderId="0" xfId="0" applyFont="1" applyBorder="1" applyAlignment="1" applyProtection="1">
      <alignment horizontal="centerContinuous" vertical="center"/>
      <protection hidden="1"/>
    </xf>
    <xf numFmtId="0" fontId="3" fillId="0" borderId="2" xfId="0" applyFont="1" applyBorder="1" applyAlignment="1" applyProtection="1">
      <alignment horizontal="center" vertical="center"/>
      <protection hidden="1"/>
    </xf>
    <xf numFmtId="0" fontId="3" fillId="0" borderId="2" xfId="0" applyNumberFormat="1" applyFont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176" fontId="6" fillId="0" borderId="1" xfId="0" applyNumberFormat="1" applyFont="1" applyBorder="1" applyAlignment="1" applyProtection="1">
      <alignment horizontal="center" vertical="center"/>
      <protection hidden="1"/>
    </xf>
    <xf numFmtId="0" fontId="6" fillId="0" borderId="1" xfId="0" applyNumberFormat="1" applyFont="1" applyFill="1" applyBorder="1" applyAlignment="1" applyProtection="1">
      <alignment horizontal="center" vertical="center" wrapText="1"/>
      <protection hidden="1"/>
    </xf>
    <xf numFmtId="49" fontId="6" fillId="0" borderId="1" xfId="0" applyNumberFormat="1" applyFont="1" applyBorder="1" applyAlignment="1" applyProtection="1">
      <alignment horizontal="center" vertical="center"/>
      <protection hidden="1"/>
    </xf>
    <xf numFmtId="0" fontId="6" fillId="0" borderId="1" xfId="0" applyNumberFormat="1" applyFont="1" applyFill="1" applyBorder="1" applyAlignment="1" applyProtection="1">
      <alignment horizontal="center" vertical="center"/>
      <protection hidden="1"/>
    </xf>
    <xf numFmtId="49" fontId="3" fillId="0" borderId="1" xfId="1" applyNumberFormat="1" applyFont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protection hidden="1"/>
    </xf>
    <xf numFmtId="49" fontId="3" fillId="0" borderId="0" xfId="1" applyNumberFormat="1" applyFont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49" fontId="7" fillId="0" borderId="0" xfId="1" applyNumberFormat="1" applyFont="1" applyBorder="1" applyAlignment="1" applyProtection="1">
      <alignment horizontal="center"/>
      <protection hidden="1"/>
    </xf>
    <xf numFmtId="49" fontId="3" fillId="0" borderId="0" xfId="0" applyNumberFormat="1" applyFont="1" applyBorder="1" applyAlignment="1" applyProtection="1">
      <alignment horizontal="center"/>
      <protection hidden="1"/>
    </xf>
    <xf numFmtId="176" fontId="3" fillId="0" borderId="0" xfId="0" applyNumberFormat="1" applyFont="1" applyBorder="1" applyAlignment="1" applyProtection="1">
      <alignment horizontal="center" vertical="center"/>
      <protection hidden="1"/>
    </xf>
    <xf numFmtId="49" fontId="3" fillId="0" borderId="0" xfId="0" applyNumberFormat="1" applyFont="1" applyBorder="1" applyAlignment="1" applyProtection="1">
      <alignment horizontal="center" vertical="center"/>
      <protection hidden="1"/>
    </xf>
    <xf numFmtId="0" fontId="3" fillId="0" borderId="0" xfId="0" applyNumberFormat="1" applyFont="1" applyBorder="1" applyAlignment="1" applyProtection="1">
      <alignment horizontal="center" vertical="center"/>
      <protection hidden="1"/>
    </xf>
    <xf numFmtId="49" fontId="10" fillId="0" borderId="1" xfId="1" applyNumberFormat="1" applyFont="1" applyBorder="1" applyAlignment="1" applyProtection="1">
      <alignment horizontal="center"/>
      <protection locked="0"/>
    </xf>
    <xf numFmtId="49" fontId="3" fillId="0" borderId="1" xfId="1" applyNumberFormat="1" applyFont="1" applyBorder="1" applyAlignment="1" applyProtection="1">
      <alignment horizontal="center"/>
    </xf>
    <xf numFmtId="49" fontId="7" fillId="0" borderId="1" xfId="1" applyNumberFormat="1" applyFont="1" applyBorder="1" applyAlignment="1" applyProtection="1">
      <alignment horizontal="center"/>
    </xf>
    <xf numFmtId="49" fontId="10" fillId="0" borderId="1" xfId="1" applyNumberFormat="1" applyFont="1" applyBorder="1" applyAlignment="1" applyProtection="1">
      <alignment horizontal="center"/>
    </xf>
    <xf numFmtId="49" fontId="3" fillId="0" borderId="1" xfId="0" applyNumberFormat="1" applyFont="1" applyBorder="1" applyAlignment="1" applyProtection="1">
      <alignment horizontal="center"/>
    </xf>
    <xf numFmtId="49" fontId="3" fillId="0" borderId="0" xfId="0" applyNumberFormat="1" applyFont="1" applyBorder="1" applyAlignment="1" applyProtection="1">
      <alignment horizontal="center" vertical="center"/>
    </xf>
    <xf numFmtId="49" fontId="10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</cellXfs>
  <cellStyles count="2">
    <cellStyle name="常规" xfId="0" builtinId="0"/>
    <cellStyle name="常规_Sheet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返回"/>
  <ax:ocxPr ax:name="Size" ax:value="2725;767"/>
  <ax:ocxPr ax:name="FontName" ax:value="黑体"/>
  <ax:ocxPr ax:name="FontEffects" ax:value="1073741825"/>
  <ax:ocxPr ax:name="FontHeight" ax:value="240"/>
  <ax:ocxPr ax:name="FontCharSet" ax:value="134"/>
  <ax:ocxPr ax:name="FontPitchAndFamily" ax:value="34"/>
  <ax:ocxPr ax:name="ParagraphAlign" ax:value="3"/>
  <ax:ocxPr ax:name="FontWeight" ax:value="700"/>
</ax:ocx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419100</xdr:rowOff>
    </xdr:from>
    <xdr:to>
      <xdr:col>8</xdr:col>
      <xdr:colOff>0</xdr:colOff>
      <xdr:row>0</xdr:row>
      <xdr:rowOff>419100</xdr:rowOff>
    </xdr:to>
    <xdr:sp macro="" textlink="">
      <xdr:nvSpPr>
        <xdr:cNvPr id="7183" name="Line 9"/>
        <xdr:cNvSpPr>
          <a:spLocks noChangeShapeType="1"/>
        </xdr:cNvSpPr>
      </xdr:nvSpPr>
      <xdr:spPr bwMode="auto">
        <a:xfrm>
          <a:off x="1552575" y="419100"/>
          <a:ext cx="39338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J83"/>
  <sheetViews>
    <sheetView showGridLines="0" showZeros="0" tabSelected="1" showOutlineSymbols="0" zoomScaleNormal="100" workbookViewId="0">
      <pane ySplit="5" topLeftCell="A6" activePane="bottomLeft" state="frozen"/>
      <selection pane="bottomLeft" activeCell="C6" sqref="C6"/>
    </sheetView>
  </sheetViews>
  <sheetFormatPr defaultRowHeight="14.25"/>
  <cols>
    <col min="1" max="1" width="3.625" style="28" customWidth="1"/>
    <col min="2" max="2" width="7.625" style="31" customWidth="1"/>
    <col min="3" max="3" width="4.125" style="25" customWidth="1"/>
    <col min="4" max="4" width="10.625" style="29" customWidth="1"/>
    <col min="5" max="5" width="4.125" style="25" customWidth="1"/>
    <col min="6" max="6" width="20.625" style="30" customWidth="1"/>
    <col min="7" max="7" width="10.625" style="72" customWidth="1"/>
    <col min="8" max="9" width="10.625" style="31" customWidth="1"/>
    <col min="10" max="10" width="8.625" style="32" customWidth="1"/>
    <col min="11" max="16384" width="9" style="1"/>
  </cols>
  <sheetData>
    <row r="1" spans="1:10" ht="69.75" customHeight="1">
      <c r="A1" s="74" t="s">
        <v>140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ht="16.5" customHeight="1">
      <c r="A2" s="5"/>
      <c r="B2" s="8"/>
      <c r="C2" s="2"/>
      <c r="D2" s="10"/>
      <c r="E2" s="9"/>
      <c r="F2" s="9"/>
      <c r="G2" s="9"/>
      <c r="H2" s="37" t="str">
        <f>"合计" &amp; COUNTA(B:B)-1 &amp;"人  男" &amp; COUNTIF(C:C,"男") &amp; "人 女" &amp; COUNTIF(C:C,"女") &amp; "人"</f>
        <v>合计78人  男44人 女34人</v>
      </c>
      <c r="I2" s="37"/>
      <c r="J2" s="37"/>
    </row>
    <row r="3" spans="1:10" ht="16.5" customHeight="1">
      <c r="A3" s="7"/>
      <c r="B3" s="7"/>
      <c r="C3" s="2"/>
      <c r="D3" s="11"/>
      <c r="E3" s="2"/>
      <c r="F3" s="3"/>
      <c r="G3" s="3"/>
      <c r="H3" s="76" t="str">
        <f>"在职"&amp;COUNTIF(J:J,"在职")&amp;"人 内退"&amp;COUNTIF(J:J,"内退")&amp;"人 退休"&amp;COUNTIF(J:J,"退休")&amp;"人"</f>
        <v>在职64人 内退4人 退休10人</v>
      </c>
      <c r="I3" s="76"/>
      <c r="J3" s="76"/>
    </row>
    <row r="4" spans="1:10" ht="5.25" customHeight="1">
      <c r="A4" s="5"/>
      <c r="B4" s="4"/>
      <c r="C4" s="2"/>
      <c r="D4" s="11"/>
      <c r="E4" s="2"/>
      <c r="F4" s="3"/>
      <c r="G4" s="3"/>
      <c r="H4" s="24"/>
      <c r="I4" s="24"/>
      <c r="J4" s="26"/>
    </row>
    <row r="5" spans="1:10" ht="30" customHeight="1">
      <c r="A5" s="35" t="s">
        <v>109</v>
      </c>
      <c r="B5" s="12" t="s">
        <v>45</v>
      </c>
      <c r="C5" s="35" t="s">
        <v>110</v>
      </c>
      <c r="D5" s="13" t="s">
        <v>3</v>
      </c>
      <c r="E5" s="36" t="s">
        <v>111</v>
      </c>
      <c r="F5" s="15" t="s">
        <v>46</v>
      </c>
      <c r="G5" s="15" t="s">
        <v>12</v>
      </c>
      <c r="H5" s="14" t="s">
        <v>4</v>
      </c>
      <c r="I5" s="14" t="s">
        <v>14</v>
      </c>
      <c r="J5" s="14" t="s">
        <v>13</v>
      </c>
    </row>
    <row r="6" spans="1:10" s="6" customFormat="1" ht="18" customHeight="1">
      <c r="A6" s="16">
        <f>ROW()-5</f>
        <v>1</v>
      </c>
      <c r="B6" s="20" t="s">
        <v>112</v>
      </c>
      <c r="C6" s="18" t="s">
        <v>146</v>
      </c>
      <c r="D6" s="19">
        <v>30581</v>
      </c>
      <c r="E6" s="18">
        <f ca="1">DATEDIF(TEXT(MID(F6,7,8),"#-00-00"),TODAY(),"y")</f>
        <v>26</v>
      </c>
      <c r="F6" s="67" t="s">
        <v>165</v>
      </c>
      <c r="G6" s="68" t="s">
        <v>142</v>
      </c>
      <c r="H6" s="21" t="s">
        <v>6</v>
      </c>
      <c r="I6" s="21" t="s">
        <v>36</v>
      </c>
      <c r="J6" s="22" t="s">
        <v>1</v>
      </c>
    </row>
    <row r="7" spans="1:10" s="6" customFormat="1" ht="18" customHeight="1">
      <c r="A7" s="16">
        <f>ROW()-5</f>
        <v>2</v>
      </c>
      <c r="B7" s="20" t="s">
        <v>113</v>
      </c>
      <c r="C7" s="18" t="s">
        <v>11</v>
      </c>
      <c r="D7" s="19">
        <v>30617</v>
      </c>
      <c r="E7" s="18">
        <f ca="1">DATEDIF(TEXT(MID(F7,7,8),"#-00-00"),TODAY(),"y")</f>
        <v>26</v>
      </c>
      <c r="F7" s="67" t="s">
        <v>147</v>
      </c>
      <c r="G7" s="68" t="s">
        <v>142</v>
      </c>
      <c r="H7" s="21" t="s">
        <v>6</v>
      </c>
      <c r="I7" s="21" t="s">
        <v>40</v>
      </c>
      <c r="J7" s="22" t="s">
        <v>1</v>
      </c>
    </row>
    <row r="8" spans="1:10" s="6" customFormat="1" ht="18" customHeight="1">
      <c r="A8" s="16">
        <f>ROW()-5</f>
        <v>3</v>
      </c>
      <c r="B8" s="20" t="s">
        <v>115</v>
      </c>
      <c r="C8" s="18" t="s">
        <v>146</v>
      </c>
      <c r="D8" s="19">
        <v>30644</v>
      </c>
      <c r="E8" s="18">
        <f ca="1">DATEDIF(TEXT(MID(F8,7,8),"#-00-00"),TODAY(),"y")</f>
        <v>26</v>
      </c>
      <c r="F8" s="67" t="s">
        <v>92</v>
      </c>
      <c r="G8" s="68" t="s">
        <v>142</v>
      </c>
      <c r="H8" s="21" t="s">
        <v>9</v>
      </c>
      <c r="I8" s="21" t="s">
        <v>36</v>
      </c>
      <c r="J8" s="22" t="s">
        <v>1</v>
      </c>
    </row>
    <row r="9" spans="1:10" s="6" customFormat="1" ht="18" customHeight="1">
      <c r="A9" s="16">
        <f>ROW()-5</f>
        <v>4</v>
      </c>
      <c r="B9" s="20" t="s">
        <v>120</v>
      </c>
      <c r="C9" s="18" t="s">
        <v>148</v>
      </c>
      <c r="D9" s="19">
        <v>29395</v>
      </c>
      <c r="E9" s="18">
        <f ca="1">DATEDIF(TEXT(MID(F9,7,8),"#-00-00"),TODAY(),"y")</f>
        <v>29</v>
      </c>
      <c r="F9" s="67" t="s">
        <v>87</v>
      </c>
      <c r="G9" s="68" t="s">
        <v>142</v>
      </c>
      <c r="H9" s="21" t="s">
        <v>6</v>
      </c>
      <c r="I9" s="21" t="s">
        <v>25</v>
      </c>
      <c r="J9" s="22" t="s">
        <v>1</v>
      </c>
    </row>
    <row r="10" spans="1:10" s="6" customFormat="1" ht="18" customHeight="1">
      <c r="A10" s="16">
        <f>ROW()-5</f>
        <v>5</v>
      </c>
      <c r="B10" s="20" t="s">
        <v>117</v>
      </c>
      <c r="C10" s="18" t="s">
        <v>146</v>
      </c>
      <c r="D10" s="19">
        <v>29562</v>
      </c>
      <c r="E10" s="18">
        <f ca="1">DATEDIF(TEXT(MID(F10,7,8),"#-00-00"),TODAY(),"y")</f>
        <v>29</v>
      </c>
      <c r="F10" s="67" t="s">
        <v>88</v>
      </c>
      <c r="G10" s="68" t="s">
        <v>142</v>
      </c>
      <c r="H10" s="21" t="s">
        <v>6</v>
      </c>
      <c r="I10" s="21" t="s">
        <v>20</v>
      </c>
      <c r="J10" s="22" t="s">
        <v>1</v>
      </c>
    </row>
    <row r="11" spans="1:10" s="6" customFormat="1" ht="18" customHeight="1">
      <c r="A11" s="16">
        <f>ROW()-5</f>
        <v>6</v>
      </c>
      <c r="B11" s="20" t="s">
        <v>118</v>
      </c>
      <c r="C11" s="18" t="s">
        <v>148</v>
      </c>
      <c r="D11" s="19">
        <v>29091</v>
      </c>
      <c r="E11" s="18">
        <f ca="1">DATEDIF(TEXT(MID(F11,7,8),"#-00-00"),TODAY(),"y")</f>
        <v>30</v>
      </c>
      <c r="F11" s="67" t="s">
        <v>86</v>
      </c>
      <c r="G11" s="68" t="s">
        <v>142</v>
      </c>
      <c r="H11" s="21" t="s">
        <v>6</v>
      </c>
      <c r="I11" s="21" t="s">
        <v>42</v>
      </c>
      <c r="J11" s="22" t="s">
        <v>1</v>
      </c>
    </row>
    <row r="12" spans="1:10" s="6" customFormat="1" ht="18" customHeight="1">
      <c r="A12" s="16">
        <f>ROW()-5</f>
        <v>7</v>
      </c>
      <c r="B12" s="20" t="s">
        <v>118</v>
      </c>
      <c r="C12" s="18" t="s">
        <v>146</v>
      </c>
      <c r="D12" s="19">
        <v>29155</v>
      </c>
      <c r="E12" s="18">
        <f ca="1">DATEDIF(TEXT(MID(F12,7,8),"#-00-00"),TODAY(),"y")</f>
        <v>30</v>
      </c>
      <c r="F12" s="67" t="s">
        <v>166</v>
      </c>
      <c r="G12" s="68" t="s">
        <v>142</v>
      </c>
      <c r="H12" s="21" t="s">
        <v>6</v>
      </c>
      <c r="I12" s="21" t="s">
        <v>25</v>
      </c>
      <c r="J12" s="22" t="s">
        <v>1</v>
      </c>
    </row>
    <row r="13" spans="1:10" s="6" customFormat="1" ht="18" customHeight="1">
      <c r="A13" s="16">
        <f>ROW()-5</f>
        <v>8</v>
      </c>
      <c r="B13" s="20" t="s">
        <v>119</v>
      </c>
      <c r="C13" s="18" t="s">
        <v>148</v>
      </c>
      <c r="D13" s="19">
        <v>29271</v>
      </c>
      <c r="E13" s="18">
        <f ca="1">DATEDIF(TEXT(MID(F13,7,8),"#-00-00"),TODAY(),"y")</f>
        <v>30</v>
      </c>
      <c r="F13" s="67" t="s">
        <v>164</v>
      </c>
      <c r="G13" s="69" t="s">
        <v>142</v>
      </c>
      <c r="H13" s="21" t="s">
        <v>5</v>
      </c>
      <c r="I13" s="21" t="s">
        <v>21</v>
      </c>
      <c r="J13" s="22" t="s">
        <v>1</v>
      </c>
    </row>
    <row r="14" spans="1:10" s="6" customFormat="1" ht="18" customHeight="1">
      <c r="A14" s="16">
        <f>ROW()-5</f>
        <v>9</v>
      </c>
      <c r="B14" s="17" t="s">
        <v>118</v>
      </c>
      <c r="C14" s="18" t="s">
        <v>148</v>
      </c>
      <c r="D14" s="19">
        <v>28638</v>
      </c>
      <c r="E14" s="18">
        <f ca="1">DATEDIF(TEXT(MID(F14,7,8),"#-00-00"),TODAY(),"y")</f>
        <v>31</v>
      </c>
      <c r="F14" s="67" t="s">
        <v>84</v>
      </c>
      <c r="G14" s="68" t="s">
        <v>41</v>
      </c>
      <c r="H14" s="21" t="s">
        <v>6</v>
      </c>
      <c r="I14" s="21" t="s">
        <v>25</v>
      </c>
      <c r="J14" s="22" t="s">
        <v>1</v>
      </c>
    </row>
    <row r="15" spans="1:10" s="6" customFormat="1" ht="18" customHeight="1">
      <c r="A15" s="16">
        <f>ROW()-5</f>
        <v>10</v>
      </c>
      <c r="B15" s="20" t="s">
        <v>114</v>
      </c>
      <c r="C15" s="18" t="s">
        <v>146</v>
      </c>
      <c r="D15" s="19">
        <v>28782</v>
      </c>
      <c r="E15" s="18">
        <f ca="1">DATEDIF(TEXT(MID(F15,7,8),"#-00-00"),TODAY(),"y")</f>
        <v>31</v>
      </c>
      <c r="F15" s="67" t="s">
        <v>59</v>
      </c>
      <c r="G15" s="68" t="s">
        <v>143</v>
      </c>
      <c r="H15" s="21" t="s">
        <v>5</v>
      </c>
      <c r="I15" s="21" t="s">
        <v>38</v>
      </c>
      <c r="J15" s="22" t="s">
        <v>1</v>
      </c>
    </row>
    <row r="16" spans="1:10" s="6" customFormat="1" ht="18" customHeight="1">
      <c r="A16" s="16">
        <f>ROW()-5</f>
        <v>11</v>
      </c>
      <c r="B16" s="20" t="s">
        <v>118</v>
      </c>
      <c r="C16" s="18" t="s">
        <v>146</v>
      </c>
      <c r="D16" s="19">
        <v>28866</v>
      </c>
      <c r="E16" s="18">
        <f ca="1">DATEDIF(TEXT(MID(F16,7,8),"#-00-00"),TODAY(),"y")</f>
        <v>31</v>
      </c>
      <c r="F16" s="67" t="s">
        <v>85</v>
      </c>
      <c r="G16" s="68" t="s">
        <v>142</v>
      </c>
      <c r="H16" s="21" t="s">
        <v>6</v>
      </c>
      <c r="I16" s="21" t="s">
        <v>20</v>
      </c>
      <c r="J16" s="22" t="s">
        <v>1</v>
      </c>
    </row>
    <row r="17" spans="1:10" s="6" customFormat="1" ht="18" customHeight="1">
      <c r="A17" s="16">
        <f>ROW()-5</f>
        <v>12</v>
      </c>
      <c r="B17" s="20" t="s">
        <v>122</v>
      </c>
      <c r="C17" s="18" t="s">
        <v>148</v>
      </c>
      <c r="D17" s="19">
        <v>28317</v>
      </c>
      <c r="E17" s="18">
        <f ca="1">DATEDIF(TEXT(MID(F17,7,8),"#-00-00"),TODAY(),"y")</f>
        <v>32</v>
      </c>
      <c r="F17" s="67" t="s">
        <v>167</v>
      </c>
      <c r="G17" s="68" t="s">
        <v>142</v>
      </c>
      <c r="H17" s="21" t="s">
        <v>6</v>
      </c>
      <c r="I17" s="21" t="s">
        <v>40</v>
      </c>
      <c r="J17" s="22" t="s">
        <v>1</v>
      </c>
    </row>
    <row r="18" spans="1:10" s="6" customFormat="1" ht="18" customHeight="1">
      <c r="A18" s="16">
        <f>ROW()-5</f>
        <v>13</v>
      </c>
      <c r="B18" s="20" t="s">
        <v>123</v>
      </c>
      <c r="C18" s="18" t="s">
        <v>146</v>
      </c>
      <c r="D18" s="19">
        <v>28431</v>
      </c>
      <c r="E18" s="18">
        <f ca="1">DATEDIF(TEXT(MID(F18,7,8),"#-00-00"),TODAY(),"y")</f>
        <v>32</v>
      </c>
      <c r="F18" s="67" t="s">
        <v>163</v>
      </c>
      <c r="G18" s="68" t="s">
        <v>142</v>
      </c>
      <c r="H18" s="21" t="s">
        <v>6</v>
      </c>
      <c r="I18" s="21" t="s">
        <v>20</v>
      </c>
      <c r="J18" s="22" t="s">
        <v>1</v>
      </c>
    </row>
    <row r="19" spans="1:10" s="6" customFormat="1" ht="18" customHeight="1">
      <c r="A19" s="16">
        <f>ROW()-5</f>
        <v>14</v>
      </c>
      <c r="B19" s="20" t="s">
        <v>119</v>
      </c>
      <c r="C19" s="18" t="s">
        <v>146</v>
      </c>
      <c r="D19" s="19">
        <v>28050</v>
      </c>
      <c r="E19" s="18">
        <f ca="1">DATEDIF(TEXT(MID(F19,7,8),"#-00-00"),TODAY(),"y")</f>
        <v>33</v>
      </c>
      <c r="F19" s="67" t="s">
        <v>83</v>
      </c>
      <c r="G19" s="68" t="s">
        <v>142</v>
      </c>
      <c r="H19" s="21" t="s">
        <v>6</v>
      </c>
      <c r="I19" s="21" t="s">
        <v>44</v>
      </c>
      <c r="J19" s="22" t="s">
        <v>1</v>
      </c>
    </row>
    <row r="20" spans="1:10" s="6" customFormat="1" ht="18" customHeight="1">
      <c r="A20" s="16">
        <f>ROW()-5</f>
        <v>15</v>
      </c>
      <c r="B20" s="20" t="s">
        <v>114</v>
      </c>
      <c r="C20" s="18" t="s">
        <v>146</v>
      </c>
      <c r="D20" s="19">
        <v>27561</v>
      </c>
      <c r="E20" s="18">
        <f ca="1">DATEDIF(TEXT(MID(F20,7,8),"#-00-00"),TODAY(),"y")</f>
        <v>34</v>
      </c>
      <c r="F20" s="67" t="s">
        <v>53</v>
      </c>
      <c r="G20" s="68" t="s">
        <v>34</v>
      </c>
      <c r="H20" s="21" t="s">
        <v>5</v>
      </c>
      <c r="I20" s="21" t="s">
        <v>48</v>
      </c>
      <c r="J20" s="22" t="s">
        <v>1</v>
      </c>
    </row>
    <row r="21" spans="1:10" s="6" customFormat="1" ht="18" customHeight="1">
      <c r="A21" s="16">
        <f>ROW()-5</f>
        <v>16</v>
      </c>
      <c r="B21" s="20" t="s">
        <v>121</v>
      </c>
      <c r="C21" s="18" t="s">
        <v>148</v>
      </c>
      <c r="D21" s="19">
        <v>27598</v>
      </c>
      <c r="E21" s="18">
        <f ca="1">DATEDIF(TEXT(MID(F21,7,8),"#-00-00"),TODAY(),"y")</f>
        <v>34</v>
      </c>
      <c r="F21" s="67" t="s">
        <v>168</v>
      </c>
      <c r="G21" s="68" t="s">
        <v>142</v>
      </c>
      <c r="H21" s="21" t="s">
        <v>6</v>
      </c>
      <c r="I21" s="21" t="s">
        <v>40</v>
      </c>
      <c r="J21" s="22" t="s">
        <v>1</v>
      </c>
    </row>
    <row r="22" spans="1:10" s="6" customFormat="1" ht="18" customHeight="1">
      <c r="A22" s="16">
        <f>ROW()-5</f>
        <v>17</v>
      </c>
      <c r="B22" s="20" t="s">
        <v>125</v>
      </c>
      <c r="C22" s="18" t="s">
        <v>148</v>
      </c>
      <c r="D22" s="19">
        <v>27631</v>
      </c>
      <c r="E22" s="18">
        <f ca="1">DATEDIF(TEXT(MID(F22,7,8),"#-00-00"),TODAY(),"y")</f>
        <v>34</v>
      </c>
      <c r="F22" s="67" t="s">
        <v>169</v>
      </c>
      <c r="G22" s="68" t="s">
        <v>142</v>
      </c>
      <c r="H22" s="21" t="s">
        <v>6</v>
      </c>
      <c r="I22" s="21" t="s">
        <v>25</v>
      </c>
      <c r="J22" s="22" t="s">
        <v>1</v>
      </c>
    </row>
    <row r="23" spans="1:10" s="6" customFormat="1" ht="18" customHeight="1">
      <c r="A23" s="16">
        <f>ROW()-5</f>
        <v>18</v>
      </c>
      <c r="B23" s="20" t="s">
        <v>126</v>
      </c>
      <c r="C23" s="18" t="s">
        <v>146</v>
      </c>
      <c r="D23" s="19">
        <v>27664</v>
      </c>
      <c r="E23" s="18">
        <f ca="1">DATEDIF(TEXT(MID(F23,7,8),"#-00-00"),TODAY(),"y")</f>
        <v>34</v>
      </c>
      <c r="F23" s="67" t="s">
        <v>68</v>
      </c>
      <c r="G23" s="68" t="s">
        <v>144</v>
      </c>
      <c r="H23" s="21" t="s">
        <v>10</v>
      </c>
      <c r="I23" s="21" t="s">
        <v>37</v>
      </c>
      <c r="J23" s="22" t="s">
        <v>1</v>
      </c>
    </row>
    <row r="24" spans="1:10" s="6" customFormat="1" ht="18" customHeight="1">
      <c r="A24" s="16">
        <f>ROW()-5</f>
        <v>19</v>
      </c>
      <c r="B24" s="20" t="s">
        <v>121</v>
      </c>
      <c r="C24" s="18" t="s">
        <v>11</v>
      </c>
      <c r="D24" s="19">
        <v>27671</v>
      </c>
      <c r="E24" s="18">
        <f ca="1">DATEDIF(TEXT(MID(F24,7,8),"#-00-00"),TODAY(),"y")</f>
        <v>34</v>
      </c>
      <c r="F24" s="67" t="s">
        <v>162</v>
      </c>
      <c r="G24" s="68" t="s">
        <v>142</v>
      </c>
      <c r="H24" s="21" t="s">
        <v>6</v>
      </c>
      <c r="I24" s="21" t="s">
        <v>24</v>
      </c>
      <c r="J24" s="22" t="s">
        <v>1</v>
      </c>
    </row>
    <row r="25" spans="1:10" s="6" customFormat="1" ht="18" customHeight="1">
      <c r="A25" s="16">
        <f>ROW()-5</f>
        <v>20</v>
      </c>
      <c r="B25" s="20" t="s">
        <v>121</v>
      </c>
      <c r="C25" s="18" t="s">
        <v>148</v>
      </c>
      <c r="D25" s="19">
        <v>27794</v>
      </c>
      <c r="E25" s="18">
        <f ca="1">DATEDIF(TEXT(MID(F25,7,8),"#-00-00"),TODAY(),"y")</f>
        <v>34</v>
      </c>
      <c r="F25" s="67" t="s">
        <v>82</v>
      </c>
      <c r="G25" s="68" t="s">
        <v>142</v>
      </c>
      <c r="H25" s="21" t="s">
        <v>6</v>
      </c>
      <c r="I25" s="21" t="s">
        <v>31</v>
      </c>
      <c r="J25" s="22" t="s">
        <v>1</v>
      </c>
    </row>
    <row r="26" spans="1:10" s="6" customFormat="1" ht="18" customHeight="1">
      <c r="A26" s="16">
        <f>ROW()-5</f>
        <v>21</v>
      </c>
      <c r="B26" s="20" t="s">
        <v>118</v>
      </c>
      <c r="C26" s="18" t="s">
        <v>171</v>
      </c>
      <c r="D26" s="19">
        <v>27200</v>
      </c>
      <c r="E26" s="18">
        <f ca="1">DATEDIF(TEXT(MID(F26,7,8),"#-00-00"),TODAY(),"y")</f>
        <v>35</v>
      </c>
      <c r="F26" s="67" t="s">
        <v>170</v>
      </c>
      <c r="G26" s="68" t="s">
        <v>33</v>
      </c>
      <c r="H26" s="21" t="s">
        <v>6</v>
      </c>
      <c r="I26" s="21" t="s">
        <v>44</v>
      </c>
      <c r="J26" s="22" t="s">
        <v>1</v>
      </c>
    </row>
    <row r="27" spans="1:10" s="6" customFormat="1" ht="18" customHeight="1">
      <c r="A27" s="16">
        <f>ROW()-5</f>
        <v>22</v>
      </c>
      <c r="B27" s="20" t="s">
        <v>116</v>
      </c>
      <c r="C27" s="18" t="s">
        <v>146</v>
      </c>
      <c r="D27" s="19">
        <v>27208</v>
      </c>
      <c r="E27" s="18">
        <f ca="1">DATEDIF(TEXT(MID(F27,7,8),"#-00-00"),TODAY(),"y")</f>
        <v>35</v>
      </c>
      <c r="F27" s="67" t="s">
        <v>81</v>
      </c>
      <c r="G27" s="68" t="s">
        <v>145</v>
      </c>
      <c r="H27" s="21" t="s">
        <v>6</v>
      </c>
      <c r="I27" s="21" t="s">
        <v>25</v>
      </c>
      <c r="J27" s="22" t="s">
        <v>1</v>
      </c>
    </row>
    <row r="28" spans="1:10" s="6" customFormat="1" ht="18" customHeight="1">
      <c r="A28" s="16">
        <f>ROW()-5</f>
        <v>23</v>
      </c>
      <c r="B28" s="20" t="s">
        <v>127</v>
      </c>
      <c r="C28" s="18" t="s">
        <v>148</v>
      </c>
      <c r="D28" s="19">
        <v>27021</v>
      </c>
      <c r="E28" s="18">
        <f ca="1">DATEDIF(TEXT(MID(F28,7,8),"#-00-00"),TODAY(),"y")</f>
        <v>36</v>
      </c>
      <c r="F28" s="67" t="s">
        <v>80</v>
      </c>
      <c r="G28" s="68" t="s">
        <v>142</v>
      </c>
      <c r="H28" s="21" t="s">
        <v>6</v>
      </c>
      <c r="I28" s="21" t="s">
        <v>19</v>
      </c>
      <c r="J28" s="22" t="s">
        <v>1</v>
      </c>
    </row>
    <row r="29" spans="1:10" s="6" customFormat="1" ht="18" customHeight="1">
      <c r="A29" s="16">
        <f>ROW()-5</f>
        <v>24</v>
      </c>
      <c r="B29" s="20" t="s">
        <v>128</v>
      </c>
      <c r="C29" s="18" t="s">
        <v>146</v>
      </c>
      <c r="D29" s="19">
        <v>27053</v>
      </c>
      <c r="E29" s="18">
        <f ca="1">DATEDIF(TEXT(MID(F29,7,8),"#-00-00"),TODAY(),"y")</f>
        <v>36</v>
      </c>
      <c r="F29" s="67" t="s">
        <v>51</v>
      </c>
      <c r="G29" s="68" t="s">
        <v>34</v>
      </c>
      <c r="H29" s="21" t="s">
        <v>7</v>
      </c>
      <c r="I29" s="21" t="s">
        <v>17</v>
      </c>
      <c r="J29" s="22" t="s">
        <v>1</v>
      </c>
    </row>
    <row r="30" spans="1:10" s="6" customFormat="1" ht="18" customHeight="1">
      <c r="A30" s="16">
        <f>ROW()-5</f>
        <v>25</v>
      </c>
      <c r="B30" s="20" t="s">
        <v>118</v>
      </c>
      <c r="C30" s="18" t="s">
        <v>148</v>
      </c>
      <c r="D30" s="19">
        <v>27136</v>
      </c>
      <c r="E30" s="18">
        <f ca="1">DATEDIF(TEXT(MID(F30,7,8),"#-00-00"),TODAY(),"y")</f>
        <v>36</v>
      </c>
      <c r="F30" s="67" t="s">
        <v>52</v>
      </c>
      <c r="G30" s="68" t="s">
        <v>142</v>
      </c>
      <c r="H30" s="21" t="s">
        <v>7</v>
      </c>
      <c r="I30" s="21" t="s">
        <v>17</v>
      </c>
      <c r="J30" s="22" t="s">
        <v>1</v>
      </c>
    </row>
    <row r="31" spans="1:10" s="6" customFormat="1" ht="18" customHeight="1">
      <c r="A31" s="16">
        <f>ROW()-5</f>
        <v>26</v>
      </c>
      <c r="B31" s="20" t="s">
        <v>126</v>
      </c>
      <c r="C31" s="18" t="s">
        <v>146</v>
      </c>
      <c r="D31" s="19">
        <v>26338</v>
      </c>
      <c r="E31" s="18">
        <f ca="1">DATEDIF(TEXT(MID(F31,7,8),"#-00-00"),TODAY(),"y")</f>
        <v>38</v>
      </c>
      <c r="F31" s="67" t="s">
        <v>58</v>
      </c>
      <c r="G31" s="68" t="s">
        <v>39</v>
      </c>
      <c r="H31" s="21" t="s">
        <v>5</v>
      </c>
      <c r="I31" s="21" t="s">
        <v>38</v>
      </c>
      <c r="J31" s="22" t="s">
        <v>1</v>
      </c>
    </row>
    <row r="32" spans="1:10" s="6" customFormat="1" ht="18" customHeight="1">
      <c r="A32" s="16">
        <f>ROW()-5</f>
        <v>27</v>
      </c>
      <c r="B32" s="20" t="s">
        <v>129</v>
      </c>
      <c r="C32" s="18" t="s">
        <v>148</v>
      </c>
      <c r="D32" s="19">
        <v>25939</v>
      </c>
      <c r="E32" s="18">
        <f ca="1">DATEDIF(TEXT(MID(F32,7,8),"#-00-00"),TODAY(),"y")</f>
        <v>39</v>
      </c>
      <c r="F32" s="67" t="s">
        <v>161</v>
      </c>
      <c r="G32" s="68" t="s">
        <v>142</v>
      </c>
      <c r="H32" s="21" t="s">
        <v>5</v>
      </c>
      <c r="I32" s="21" t="s">
        <v>21</v>
      </c>
      <c r="J32" s="22" t="s">
        <v>1</v>
      </c>
    </row>
    <row r="33" spans="1:10" s="6" customFormat="1" ht="18" customHeight="1">
      <c r="A33" s="16">
        <f>ROW()-5</f>
        <v>28</v>
      </c>
      <c r="B33" s="20" t="s">
        <v>116</v>
      </c>
      <c r="C33" s="18" t="s">
        <v>171</v>
      </c>
      <c r="D33" s="19">
        <v>26010</v>
      </c>
      <c r="E33" s="18">
        <f ca="1">DATEDIF(TEXT(MID(F33,7,8),"#-00-00"),TODAY(),"y")</f>
        <v>39</v>
      </c>
      <c r="F33" s="67" t="s">
        <v>172</v>
      </c>
      <c r="G33" s="69" t="s">
        <v>142</v>
      </c>
      <c r="H33" s="21" t="s">
        <v>6</v>
      </c>
      <c r="I33" s="21" t="s">
        <v>19</v>
      </c>
      <c r="J33" s="22" t="s">
        <v>1</v>
      </c>
    </row>
    <row r="34" spans="1:10" s="6" customFormat="1" ht="18" customHeight="1">
      <c r="A34" s="16">
        <f>ROW()-5</f>
        <v>29</v>
      </c>
      <c r="B34" s="20" t="s">
        <v>130</v>
      </c>
      <c r="C34" s="18" t="s">
        <v>146</v>
      </c>
      <c r="D34" s="19">
        <v>26016</v>
      </c>
      <c r="E34" s="18">
        <f ca="1">DATEDIF(TEXT(MID(F34,7,8),"#-00-00"),TODAY(),"y")</f>
        <v>39</v>
      </c>
      <c r="F34" s="67" t="s">
        <v>57</v>
      </c>
      <c r="G34" s="69" t="s">
        <v>143</v>
      </c>
      <c r="H34" s="21" t="s">
        <v>101</v>
      </c>
      <c r="I34" s="21" t="s">
        <v>22</v>
      </c>
      <c r="J34" s="22" t="s">
        <v>1</v>
      </c>
    </row>
    <row r="35" spans="1:10" s="6" customFormat="1" ht="18" customHeight="1">
      <c r="A35" s="16">
        <f>ROW()-5</f>
        <v>30</v>
      </c>
      <c r="B35" s="20" t="s">
        <v>124</v>
      </c>
      <c r="C35" s="18" t="s">
        <v>148</v>
      </c>
      <c r="D35" s="19">
        <v>26026</v>
      </c>
      <c r="E35" s="18">
        <f ca="1">DATEDIF(TEXT(MID(F35,7,8),"#-00-00"),TODAY(),"y")</f>
        <v>39</v>
      </c>
      <c r="F35" s="67" t="s">
        <v>67</v>
      </c>
      <c r="G35" s="70" t="s">
        <v>141</v>
      </c>
      <c r="H35" s="21" t="s">
        <v>10</v>
      </c>
      <c r="I35" s="21" t="s">
        <v>29</v>
      </c>
      <c r="J35" s="22" t="s">
        <v>1</v>
      </c>
    </row>
    <row r="36" spans="1:10" s="6" customFormat="1" ht="18" customHeight="1">
      <c r="A36" s="16">
        <f>ROW()-5</f>
        <v>31</v>
      </c>
      <c r="B36" s="20" t="s">
        <v>121</v>
      </c>
      <c r="C36" s="18" t="s">
        <v>146</v>
      </c>
      <c r="D36" s="19">
        <v>26031</v>
      </c>
      <c r="E36" s="18">
        <f ca="1">DATEDIF(TEXT(MID(F36,7,8),"#-00-00"),TODAY(),"y")</f>
        <v>39</v>
      </c>
      <c r="F36" s="67" t="s">
        <v>160</v>
      </c>
      <c r="G36" s="68" t="s">
        <v>144</v>
      </c>
      <c r="H36" s="21" t="s">
        <v>10</v>
      </c>
      <c r="I36" s="21" t="s">
        <v>35</v>
      </c>
      <c r="J36" s="22" t="s">
        <v>1</v>
      </c>
    </row>
    <row r="37" spans="1:10" s="6" customFormat="1" ht="18" customHeight="1">
      <c r="A37" s="16">
        <f>ROW()-5</f>
        <v>32</v>
      </c>
      <c r="B37" s="20" t="s">
        <v>118</v>
      </c>
      <c r="C37" s="18" t="s">
        <v>148</v>
      </c>
      <c r="D37" s="19">
        <v>25340</v>
      </c>
      <c r="E37" s="18">
        <f ca="1">DATEDIF(TEXT(MID(F37,7,8),"#-00-00"),TODAY(),"y")</f>
        <v>40</v>
      </c>
      <c r="F37" s="67" t="s">
        <v>79</v>
      </c>
      <c r="G37" s="68" t="s">
        <v>144</v>
      </c>
      <c r="H37" s="21" t="s">
        <v>6</v>
      </c>
      <c r="I37" s="21" t="s">
        <v>19</v>
      </c>
      <c r="J37" s="22" t="s">
        <v>1</v>
      </c>
    </row>
    <row r="38" spans="1:10" s="6" customFormat="1" ht="18" customHeight="1">
      <c r="A38" s="16">
        <f>ROW()-5</f>
        <v>33</v>
      </c>
      <c r="B38" s="20" t="s">
        <v>131</v>
      </c>
      <c r="C38" s="18" t="s">
        <v>148</v>
      </c>
      <c r="D38" s="19">
        <v>25423</v>
      </c>
      <c r="E38" s="18">
        <f ca="1">DATEDIF(TEXT(MID(F38,7,8),"#-00-00"),TODAY(),"y")</f>
        <v>40</v>
      </c>
      <c r="F38" s="67" t="s">
        <v>62</v>
      </c>
      <c r="G38" s="68" t="s">
        <v>33</v>
      </c>
      <c r="H38" s="21" t="s">
        <v>8</v>
      </c>
      <c r="I38" s="21" t="s">
        <v>24</v>
      </c>
      <c r="J38" s="22" t="s">
        <v>1</v>
      </c>
    </row>
    <row r="39" spans="1:10" s="6" customFormat="1" ht="18" customHeight="1">
      <c r="A39" s="16">
        <f>ROW()-5</f>
        <v>34</v>
      </c>
      <c r="B39" s="20" t="s">
        <v>132</v>
      </c>
      <c r="C39" s="18" t="s">
        <v>146</v>
      </c>
      <c r="D39" s="19">
        <v>25097</v>
      </c>
      <c r="E39" s="18">
        <f ca="1">DATEDIF(TEXT(MID(F39,7,8),"#-00-00"),TODAY(),"y")</f>
        <v>41</v>
      </c>
      <c r="F39" s="67" t="s">
        <v>66</v>
      </c>
      <c r="G39" s="68" t="s">
        <v>142</v>
      </c>
      <c r="H39" s="21" t="s">
        <v>5</v>
      </c>
      <c r="I39" s="21" t="s">
        <v>43</v>
      </c>
      <c r="J39" s="22" t="s">
        <v>1</v>
      </c>
    </row>
    <row r="40" spans="1:10" s="6" customFormat="1" ht="18" customHeight="1">
      <c r="A40" s="16">
        <f>ROW()-5</f>
        <v>35</v>
      </c>
      <c r="B40" s="20" t="s">
        <v>127</v>
      </c>
      <c r="C40" s="18" t="s">
        <v>146</v>
      </c>
      <c r="D40" s="19">
        <v>25128</v>
      </c>
      <c r="E40" s="18">
        <f ca="1">DATEDIF(TEXT(MID(F40,7,8),"#-00-00"),TODAY(),"y")</f>
        <v>41</v>
      </c>
      <c r="F40" s="67" t="s">
        <v>158</v>
      </c>
      <c r="G40" s="68" t="s">
        <v>142</v>
      </c>
      <c r="H40" s="21" t="s">
        <v>6</v>
      </c>
      <c r="I40" s="21" t="s">
        <v>25</v>
      </c>
      <c r="J40" s="22" t="s">
        <v>1</v>
      </c>
    </row>
    <row r="41" spans="1:10" s="6" customFormat="1" ht="18" customHeight="1">
      <c r="A41" s="16">
        <f>ROW()-5</f>
        <v>36</v>
      </c>
      <c r="B41" s="20" t="s">
        <v>133</v>
      </c>
      <c r="C41" s="18" t="s">
        <v>146</v>
      </c>
      <c r="D41" s="19">
        <v>24870</v>
      </c>
      <c r="E41" s="18">
        <f ca="1">DATEDIF(TEXT(MID(F41,7,8),"#-00-00"),TODAY(),"y")</f>
        <v>42</v>
      </c>
      <c r="F41" s="67" t="s">
        <v>78</v>
      </c>
      <c r="G41" s="68" t="s">
        <v>142</v>
      </c>
      <c r="H41" s="21" t="s">
        <v>6</v>
      </c>
      <c r="I41" s="21" t="s">
        <v>25</v>
      </c>
      <c r="J41" s="22" t="s">
        <v>1</v>
      </c>
    </row>
    <row r="42" spans="1:10" s="6" customFormat="1" ht="18" customHeight="1">
      <c r="A42" s="16">
        <f>ROW()-5</f>
        <v>37</v>
      </c>
      <c r="B42" s="20" t="s">
        <v>127</v>
      </c>
      <c r="C42" s="18" t="s">
        <v>148</v>
      </c>
      <c r="D42" s="19">
        <v>24304</v>
      </c>
      <c r="E42" s="18">
        <f ca="1">DATEDIF(TEXT(MID(F42,7,8),"#-00-00"),TODAY(),"y")</f>
        <v>43</v>
      </c>
      <c r="F42" s="67" t="s">
        <v>76</v>
      </c>
      <c r="G42" s="68" t="s">
        <v>142</v>
      </c>
      <c r="H42" s="17" t="s">
        <v>6</v>
      </c>
      <c r="I42" s="17" t="s">
        <v>22</v>
      </c>
      <c r="J42" s="22" t="s">
        <v>1</v>
      </c>
    </row>
    <row r="43" spans="1:10" s="6" customFormat="1" ht="18" customHeight="1">
      <c r="A43" s="16">
        <f>ROW()-5</f>
        <v>38</v>
      </c>
      <c r="B43" s="17" t="s">
        <v>120</v>
      </c>
      <c r="C43" s="18" t="s">
        <v>146</v>
      </c>
      <c r="D43" s="19">
        <v>24457</v>
      </c>
      <c r="E43" s="18">
        <f ca="1">DATEDIF(TEXT(MID(F43,7,8),"#-00-00"),TODAY(),"y")</f>
        <v>43</v>
      </c>
      <c r="F43" s="67" t="s">
        <v>77</v>
      </c>
      <c r="G43" s="68" t="s">
        <v>142</v>
      </c>
      <c r="H43" s="21" t="s">
        <v>6</v>
      </c>
      <c r="I43" s="21" t="s">
        <v>32</v>
      </c>
      <c r="J43" s="22" t="s">
        <v>1</v>
      </c>
    </row>
    <row r="44" spans="1:10" s="6" customFormat="1" ht="18" customHeight="1">
      <c r="A44" s="16">
        <f>ROW()-5</f>
        <v>39</v>
      </c>
      <c r="B44" s="20" t="s">
        <v>121</v>
      </c>
      <c r="C44" s="18" t="s">
        <v>171</v>
      </c>
      <c r="D44" s="19">
        <v>23991</v>
      </c>
      <c r="E44" s="18">
        <f ca="1">DATEDIF(TEXT(MID(F44,7,8),"#-00-00"),TODAY(),"y")</f>
        <v>44</v>
      </c>
      <c r="F44" s="67" t="s">
        <v>173</v>
      </c>
      <c r="G44" s="69" t="s">
        <v>142</v>
      </c>
      <c r="H44" s="21" t="s">
        <v>6</v>
      </c>
      <c r="I44" s="21" t="s">
        <v>25</v>
      </c>
      <c r="J44" s="22" t="s">
        <v>1</v>
      </c>
    </row>
    <row r="45" spans="1:10" s="6" customFormat="1" ht="18" customHeight="1">
      <c r="A45" s="16">
        <f>ROW()-5</f>
        <v>40</v>
      </c>
      <c r="B45" s="20" t="s">
        <v>118</v>
      </c>
      <c r="C45" s="18" t="s">
        <v>146</v>
      </c>
      <c r="D45" s="19">
        <v>24153</v>
      </c>
      <c r="E45" s="18">
        <f ca="1">DATEDIF(TEXT(MID(F45,7,8),"#-00-00"),TODAY(),"y")</f>
        <v>44</v>
      </c>
      <c r="F45" s="67" t="s">
        <v>157</v>
      </c>
      <c r="G45" s="68" t="s">
        <v>142</v>
      </c>
      <c r="H45" s="21" t="s">
        <v>6</v>
      </c>
      <c r="I45" s="21" t="s">
        <v>25</v>
      </c>
      <c r="J45" s="22" t="s">
        <v>1</v>
      </c>
    </row>
    <row r="46" spans="1:10" s="6" customFormat="1" ht="18" customHeight="1">
      <c r="A46" s="16">
        <f>ROW()-5</f>
        <v>41</v>
      </c>
      <c r="B46" s="20" t="s">
        <v>135</v>
      </c>
      <c r="C46" s="18" t="s">
        <v>146</v>
      </c>
      <c r="D46" s="19">
        <v>23514</v>
      </c>
      <c r="E46" s="18">
        <f ca="1">DATEDIF(TEXT(MID(F46,7,8),"#-00-00"),TODAY(),"y")</f>
        <v>45</v>
      </c>
      <c r="F46" s="67" t="s">
        <v>74</v>
      </c>
      <c r="G46" s="68" t="s">
        <v>142</v>
      </c>
      <c r="H46" s="21" t="s">
        <v>6</v>
      </c>
      <c r="I46" s="21" t="s">
        <v>20</v>
      </c>
      <c r="J46" s="22" t="s">
        <v>1</v>
      </c>
    </row>
    <row r="47" spans="1:10" s="6" customFormat="1" ht="18" customHeight="1">
      <c r="A47" s="16">
        <f>ROW()-5</f>
        <v>42</v>
      </c>
      <c r="B47" s="20" t="s">
        <v>134</v>
      </c>
      <c r="C47" s="18" t="s">
        <v>148</v>
      </c>
      <c r="D47" s="19">
        <v>23622</v>
      </c>
      <c r="E47" s="18">
        <f ca="1">DATEDIF(TEXT(MID(F47,7,8),"#-00-00"),TODAY(),"y")</f>
        <v>45</v>
      </c>
      <c r="F47" s="67" t="s">
        <v>50</v>
      </c>
      <c r="G47" s="69" t="s">
        <v>33</v>
      </c>
      <c r="H47" s="21" t="s">
        <v>7</v>
      </c>
      <c r="I47" s="21" t="s">
        <v>17</v>
      </c>
      <c r="J47" s="22" t="s">
        <v>1</v>
      </c>
    </row>
    <row r="48" spans="1:10" s="6" customFormat="1" ht="18" customHeight="1">
      <c r="A48" s="16">
        <f>ROW()-5</f>
        <v>43</v>
      </c>
      <c r="B48" s="20" t="s">
        <v>121</v>
      </c>
      <c r="C48" s="18" t="s">
        <v>148</v>
      </c>
      <c r="D48" s="19">
        <v>23768</v>
      </c>
      <c r="E48" s="18">
        <f ca="1">DATEDIF(TEXT(MID(F48,7,8),"#-00-00"),TODAY(),"y")</f>
        <v>45</v>
      </c>
      <c r="F48" s="67" t="s">
        <v>75</v>
      </c>
      <c r="G48" s="68" t="s">
        <v>142</v>
      </c>
      <c r="H48" s="21" t="s">
        <v>6</v>
      </c>
      <c r="I48" s="21" t="s">
        <v>25</v>
      </c>
      <c r="J48" s="22" t="s">
        <v>1</v>
      </c>
    </row>
    <row r="49" spans="1:10" s="6" customFormat="1" ht="18" customHeight="1">
      <c r="A49" s="16">
        <f>ROW()-5</f>
        <v>44</v>
      </c>
      <c r="B49" s="17" t="s">
        <v>128</v>
      </c>
      <c r="C49" s="18" t="s">
        <v>148</v>
      </c>
      <c r="D49" s="19">
        <v>23429</v>
      </c>
      <c r="E49" s="18">
        <f ca="1">DATEDIF(TEXT(MID(F49,7,8),"#-00-00"),TODAY(),"y")</f>
        <v>46</v>
      </c>
      <c r="F49" s="67" t="s">
        <v>73</v>
      </c>
      <c r="G49" s="68" t="s">
        <v>145</v>
      </c>
      <c r="H49" s="21" t="s">
        <v>6</v>
      </c>
      <c r="I49" s="21" t="s">
        <v>25</v>
      </c>
      <c r="J49" s="22" t="s">
        <v>1</v>
      </c>
    </row>
    <row r="50" spans="1:10" s="6" customFormat="1" ht="18" customHeight="1">
      <c r="A50" s="16">
        <f>ROW()-5</f>
        <v>45</v>
      </c>
      <c r="B50" s="20" t="s">
        <v>136</v>
      </c>
      <c r="C50" s="18" t="s">
        <v>146</v>
      </c>
      <c r="D50" s="19">
        <v>23049</v>
      </c>
      <c r="E50" s="18">
        <f ca="1">DATEDIF(TEXT(MID(F50,7,8),"#-00-00"),TODAY(),"y")</f>
        <v>47</v>
      </c>
      <c r="F50" s="67" t="s">
        <v>61</v>
      </c>
      <c r="G50" s="68" t="s">
        <v>41</v>
      </c>
      <c r="H50" s="21" t="s">
        <v>8</v>
      </c>
      <c r="I50" s="21" t="s">
        <v>30</v>
      </c>
      <c r="J50" s="22" t="s">
        <v>1</v>
      </c>
    </row>
    <row r="51" spans="1:10" s="6" customFormat="1" ht="18" customHeight="1">
      <c r="A51" s="16">
        <f>ROW()-5</f>
        <v>46</v>
      </c>
      <c r="B51" s="20" t="s">
        <v>118</v>
      </c>
      <c r="C51" s="18" t="s">
        <v>146</v>
      </c>
      <c r="D51" s="19">
        <v>22583</v>
      </c>
      <c r="E51" s="18">
        <f ca="1">DATEDIF(TEXT(MID(F51,7,8),"#-00-00"),TODAY(),"y")</f>
        <v>48</v>
      </c>
      <c r="F51" s="67" t="s">
        <v>155</v>
      </c>
      <c r="G51" s="68" t="s">
        <v>142</v>
      </c>
      <c r="H51" s="21" t="s">
        <v>9</v>
      </c>
      <c r="I51" s="21" t="s">
        <v>26</v>
      </c>
      <c r="J51" s="22" t="s">
        <v>26</v>
      </c>
    </row>
    <row r="52" spans="1:10" s="6" customFormat="1" ht="18" customHeight="1">
      <c r="A52" s="16">
        <f>ROW()-5</f>
        <v>47</v>
      </c>
      <c r="B52" s="20" t="s">
        <v>121</v>
      </c>
      <c r="C52" s="18" t="s">
        <v>148</v>
      </c>
      <c r="D52" s="19">
        <v>22650</v>
      </c>
      <c r="E52" s="18">
        <f ca="1">DATEDIF(TEXT(MID(F52,7,8),"#-00-00"),TODAY(),"y")</f>
        <v>48</v>
      </c>
      <c r="F52" s="67" t="s">
        <v>72</v>
      </c>
      <c r="G52" s="68" t="s">
        <v>142</v>
      </c>
      <c r="H52" s="21" t="s">
        <v>6</v>
      </c>
      <c r="I52" s="21" t="s">
        <v>25</v>
      </c>
      <c r="J52" s="22" t="s">
        <v>1</v>
      </c>
    </row>
    <row r="53" spans="1:10" s="6" customFormat="1" ht="18" customHeight="1">
      <c r="A53" s="16">
        <f>ROW()-5</f>
        <v>48</v>
      </c>
      <c r="B53" s="17" t="s">
        <v>120</v>
      </c>
      <c r="C53" s="18" t="s">
        <v>146</v>
      </c>
      <c r="D53" s="19">
        <v>22054</v>
      </c>
      <c r="E53" s="18">
        <f ca="1">DATEDIF(TEXT(MID(F53,7,8),"#-00-00"),TODAY(),"y")</f>
        <v>49</v>
      </c>
      <c r="F53" s="67" t="s">
        <v>56</v>
      </c>
      <c r="G53" s="68" t="s">
        <v>41</v>
      </c>
      <c r="H53" s="21" t="s">
        <v>5</v>
      </c>
      <c r="I53" s="21" t="s">
        <v>30</v>
      </c>
      <c r="J53" s="22" t="s">
        <v>1</v>
      </c>
    </row>
    <row r="54" spans="1:10" s="6" customFormat="1" ht="18" customHeight="1">
      <c r="A54" s="16">
        <f>ROW()-5</f>
        <v>49</v>
      </c>
      <c r="B54" s="20" t="s">
        <v>114</v>
      </c>
      <c r="C54" s="18" t="s">
        <v>148</v>
      </c>
      <c r="D54" s="19">
        <v>21300</v>
      </c>
      <c r="E54" s="18">
        <f ca="1">DATEDIF(TEXT(MID(F54,7,8),"#-00-00"),TODAY(),"y")</f>
        <v>51</v>
      </c>
      <c r="F54" s="67" t="s">
        <v>64</v>
      </c>
      <c r="G54" s="68" t="s">
        <v>23</v>
      </c>
      <c r="H54" s="21" t="s">
        <v>10</v>
      </c>
      <c r="I54" s="21" t="s">
        <v>22</v>
      </c>
      <c r="J54" s="22" t="s">
        <v>1</v>
      </c>
    </row>
    <row r="55" spans="1:10" s="6" customFormat="1" ht="18" customHeight="1">
      <c r="A55" s="16">
        <f>ROW()-5</f>
        <v>50</v>
      </c>
      <c r="B55" s="20" t="s">
        <v>123</v>
      </c>
      <c r="C55" s="18" t="s">
        <v>146</v>
      </c>
      <c r="D55" s="19">
        <v>21649</v>
      </c>
      <c r="E55" s="18">
        <f ca="1">DATEDIF(TEXT(MID(F55,7,8),"#-00-00"),TODAY(),"y")</f>
        <v>51</v>
      </c>
      <c r="F55" s="67" t="s">
        <v>65</v>
      </c>
      <c r="G55" s="68" t="s">
        <v>28</v>
      </c>
      <c r="H55" s="21" t="s">
        <v>10</v>
      </c>
      <c r="I55" s="21" t="s">
        <v>27</v>
      </c>
      <c r="J55" s="22" t="s">
        <v>1</v>
      </c>
    </row>
    <row r="56" spans="1:10" s="6" customFormat="1" ht="18" customHeight="1">
      <c r="A56" s="16">
        <f>ROW()-5</f>
        <v>51</v>
      </c>
      <c r="B56" s="20" t="s">
        <v>112</v>
      </c>
      <c r="C56" s="18" t="s">
        <v>148</v>
      </c>
      <c r="D56" s="19">
        <v>20993</v>
      </c>
      <c r="E56" s="18">
        <f ca="1">DATEDIF(TEXT(MID(F56,7,8),"#-00-00"),TODAY(),"y")</f>
        <v>52</v>
      </c>
      <c r="F56" s="67" t="s">
        <v>91</v>
      </c>
      <c r="G56" s="68" t="s">
        <v>142</v>
      </c>
      <c r="H56" s="21" t="s">
        <v>9</v>
      </c>
      <c r="I56" s="21" t="s">
        <v>26</v>
      </c>
      <c r="J56" s="22" t="s">
        <v>26</v>
      </c>
    </row>
    <row r="57" spans="1:10" s="6" customFormat="1" ht="18" customHeight="1">
      <c r="A57" s="16">
        <f>ROW()-5</f>
        <v>52</v>
      </c>
      <c r="B57" s="20" t="s">
        <v>112</v>
      </c>
      <c r="C57" s="18" t="s">
        <v>148</v>
      </c>
      <c r="D57" s="19">
        <v>21156</v>
      </c>
      <c r="E57" s="18">
        <f ca="1">DATEDIF(TEXT(MID(F57,7,8),"#-00-00"),TODAY(),"y")</f>
        <v>52</v>
      </c>
      <c r="F57" s="67" t="s">
        <v>175</v>
      </c>
      <c r="G57" s="68" t="s">
        <v>145</v>
      </c>
      <c r="H57" s="21" t="s">
        <v>8</v>
      </c>
      <c r="I57" s="21" t="s">
        <v>22</v>
      </c>
      <c r="J57" s="22" t="s">
        <v>1</v>
      </c>
    </row>
    <row r="58" spans="1:10" s="6" customFormat="1" ht="18" customHeight="1">
      <c r="A58" s="16">
        <f>ROW()-5</f>
        <v>53</v>
      </c>
      <c r="B58" s="20" t="s">
        <v>113</v>
      </c>
      <c r="C58" s="18" t="s">
        <v>148</v>
      </c>
      <c r="D58" s="19">
        <v>20754</v>
      </c>
      <c r="E58" s="18">
        <f ca="1">DATEDIF(TEXT(MID(F58,7,8),"#-00-00"),TODAY(),"y")</f>
        <v>53</v>
      </c>
      <c r="F58" s="67" t="s">
        <v>55</v>
      </c>
      <c r="G58" s="68" t="s">
        <v>142</v>
      </c>
      <c r="H58" s="21" t="s">
        <v>5</v>
      </c>
      <c r="I58" s="21" t="s">
        <v>21</v>
      </c>
      <c r="J58" s="22" t="s">
        <v>1</v>
      </c>
    </row>
    <row r="59" spans="1:10" s="6" customFormat="1" ht="18" customHeight="1">
      <c r="A59" s="16">
        <f>ROW()-5</f>
        <v>54</v>
      </c>
      <c r="B59" s="20" t="s">
        <v>120</v>
      </c>
      <c r="C59" s="18" t="s">
        <v>11</v>
      </c>
      <c r="D59" s="19">
        <v>20834</v>
      </c>
      <c r="E59" s="18">
        <f ca="1">DATEDIF(TEXT(MID(F59,7,8),"#-00-00"),TODAY(),"y")</f>
        <v>53</v>
      </c>
      <c r="F59" s="67" t="s">
        <v>154</v>
      </c>
      <c r="G59" s="68" t="s">
        <v>41</v>
      </c>
      <c r="H59" s="21" t="s">
        <v>8</v>
      </c>
      <c r="I59" s="21" t="s">
        <v>24</v>
      </c>
      <c r="J59" s="22" t="s">
        <v>1</v>
      </c>
    </row>
    <row r="60" spans="1:10" s="6" customFormat="1" ht="18" customHeight="1">
      <c r="A60" s="16">
        <f>ROW()-5</f>
        <v>55</v>
      </c>
      <c r="B60" s="20" t="s">
        <v>113</v>
      </c>
      <c r="C60" s="18" t="s">
        <v>146</v>
      </c>
      <c r="D60" s="19">
        <v>20302</v>
      </c>
      <c r="E60" s="18">
        <f ca="1">DATEDIF(TEXT(MID(F60,7,8),"#-00-00"),TODAY(),"y")</f>
        <v>54</v>
      </c>
      <c r="F60" s="67" t="s">
        <v>153</v>
      </c>
      <c r="G60" s="68" t="s">
        <v>142</v>
      </c>
      <c r="H60" s="21" t="s">
        <v>5</v>
      </c>
      <c r="I60" s="21" t="s">
        <v>15</v>
      </c>
      <c r="J60" s="22" t="s">
        <v>1</v>
      </c>
    </row>
    <row r="61" spans="1:10" s="6" customFormat="1" ht="18" customHeight="1">
      <c r="A61" s="16">
        <f>ROW()-5</f>
        <v>56</v>
      </c>
      <c r="B61" s="20" t="s">
        <v>118</v>
      </c>
      <c r="C61" s="18" t="s">
        <v>148</v>
      </c>
      <c r="D61" s="19">
        <v>20388</v>
      </c>
      <c r="E61" s="18">
        <f ca="1">DATEDIF(TEXT(MID(F61,7,8),"#-00-00"),TODAY(),"y")</f>
        <v>54</v>
      </c>
      <c r="F61" s="67" t="s">
        <v>71</v>
      </c>
      <c r="G61" s="68" t="s">
        <v>142</v>
      </c>
      <c r="H61" s="21" t="s">
        <v>6</v>
      </c>
      <c r="I61" s="21" t="s">
        <v>31</v>
      </c>
      <c r="J61" s="22" t="s">
        <v>1</v>
      </c>
    </row>
    <row r="62" spans="1:10" s="6" customFormat="1" ht="18" customHeight="1">
      <c r="A62" s="16">
        <f>ROW()-5</f>
        <v>57</v>
      </c>
      <c r="B62" s="20" t="s">
        <v>135</v>
      </c>
      <c r="C62" s="18" t="s">
        <v>148</v>
      </c>
      <c r="D62" s="19">
        <v>20563</v>
      </c>
      <c r="E62" s="18">
        <f ca="1">DATEDIF(TEXT(MID(F62,7,8),"#-00-00"),TODAY(),"y")</f>
        <v>54</v>
      </c>
      <c r="F62" s="67" t="s">
        <v>49</v>
      </c>
      <c r="G62" s="68" t="s">
        <v>34</v>
      </c>
      <c r="H62" s="21" t="s">
        <v>7</v>
      </c>
      <c r="I62" s="21" t="s">
        <v>47</v>
      </c>
      <c r="J62" s="22" t="s">
        <v>1</v>
      </c>
    </row>
    <row r="63" spans="1:10" s="6" customFormat="1" ht="18" customHeight="1">
      <c r="A63" s="16">
        <f>ROW()-5</f>
        <v>58</v>
      </c>
      <c r="B63" s="20" t="s">
        <v>118</v>
      </c>
      <c r="C63" s="18" t="s">
        <v>148</v>
      </c>
      <c r="D63" s="19">
        <v>19928</v>
      </c>
      <c r="E63" s="18">
        <f ca="1">DATEDIF(TEXT(MID(F63,7,8),"#-00-00"),TODAY(),"y")</f>
        <v>55</v>
      </c>
      <c r="F63" s="67" t="s">
        <v>176</v>
      </c>
      <c r="G63" s="68" t="s">
        <v>142</v>
      </c>
      <c r="H63" s="21" t="s">
        <v>9</v>
      </c>
      <c r="I63" s="21" t="s">
        <v>36</v>
      </c>
      <c r="J63" s="22" t="s">
        <v>1</v>
      </c>
    </row>
    <row r="64" spans="1:10" s="6" customFormat="1" ht="18" customHeight="1">
      <c r="A64" s="16">
        <f>ROW()-5</f>
        <v>59</v>
      </c>
      <c r="B64" s="20" t="s">
        <v>113</v>
      </c>
      <c r="C64" s="18" t="s">
        <v>148</v>
      </c>
      <c r="D64" s="19">
        <v>20146</v>
      </c>
      <c r="E64" s="18">
        <f ca="1">DATEDIF(TEXT(MID(F64,7,8),"#-00-00"),TODAY(),"y")</f>
        <v>55</v>
      </c>
      <c r="F64" s="67" t="s">
        <v>90</v>
      </c>
      <c r="G64" s="68" t="s">
        <v>142</v>
      </c>
      <c r="H64" s="21" t="s">
        <v>9</v>
      </c>
      <c r="I64" s="21" t="s">
        <v>26</v>
      </c>
      <c r="J64" s="22" t="s">
        <v>26</v>
      </c>
    </row>
    <row r="65" spans="1:10" s="6" customFormat="1" ht="18" customHeight="1">
      <c r="A65" s="16">
        <f>ROW()-5</f>
        <v>60</v>
      </c>
      <c r="B65" s="20" t="s">
        <v>118</v>
      </c>
      <c r="C65" s="18" t="s">
        <v>146</v>
      </c>
      <c r="D65" s="19">
        <v>20188</v>
      </c>
      <c r="E65" s="18">
        <f ca="1">DATEDIF(TEXT(MID(F65,7,8),"#-00-00"),TODAY(),"y")</f>
        <v>55</v>
      </c>
      <c r="F65" s="67" t="s">
        <v>63</v>
      </c>
      <c r="G65" s="68" t="s">
        <v>143</v>
      </c>
      <c r="H65" s="21" t="s">
        <v>10</v>
      </c>
      <c r="I65" s="21" t="s">
        <v>15</v>
      </c>
      <c r="J65" s="22" t="s">
        <v>1</v>
      </c>
    </row>
    <row r="66" spans="1:10" s="6" customFormat="1" ht="18" customHeight="1">
      <c r="A66" s="16">
        <f>ROW()-5</f>
        <v>61</v>
      </c>
      <c r="B66" s="17" t="s">
        <v>118</v>
      </c>
      <c r="C66" s="18" t="s">
        <v>148</v>
      </c>
      <c r="D66" s="19">
        <v>19522</v>
      </c>
      <c r="E66" s="18">
        <f ca="1">DATEDIF(TEXT(MID(F66,7,8),"#-00-00"),TODAY(),"y")</f>
        <v>56</v>
      </c>
      <c r="F66" s="67" t="s">
        <v>70</v>
      </c>
      <c r="G66" s="68" t="s">
        <v>142</v>
      </c>
      <c r="H66" s="21" t="s">
        <v>6</v>
      </c>
      <c r="I66" s="21" t="s">
        <v>15</v>
      </c>
      <c r="J66" s="22" t="s">
        <v>1</v>
      </c>
    </row>
    <row r="67" spans="1:10" s="6" customFormat="1" ht="18" customHeight="1">
      <c r="A67" s="16">
        <f>ROW()-5</f>
        <v>62</v>
      </c>
      <c r="B67" s="20" t="s">
        <v>119</v>
      </c>
      <c r="C67" s="18" t="s">
        <v>148</v>
      </c>
      <c r="D67" s="19">
        <v>19591</v>
      </c>
      <c r="E67" s="18">
        <f ca="1">DATEDIF(TEXT(MID(F67,7,8),"#-00-00"),TODAY(),"y")</f>
        <v>56</v>
      </c>
      <c r="F67" s="67" t="s">
        <v>89</v>
      </c>
      <c r="G67" s="68" t="s">
        <v>142</v>
      </c>
      <c r="H67" s="21" t="s">
        <v>9</v>
      </c>
      <c r="I67" s="21" t="s">
        <v>26</v>
      </c>
      <c r="J67" s="22" t="s">
        <v>26</v>
      </c>
    </row>
    <row r="68" spans="1:10" s="6" customFormat="1" ht="18" customHeight="1">
      <c r="A68" s="16">
        <f>ROW()-5</f>
        <v>63</v>
      </c>
      <c r="B68" s="20" t="s">
        <v>138</v>
      </c>
      <c r="C68" s="18" t="s">
        <v>148</v>
      </c>
      <c r="D68" s="19">
        <v>18745</v>
      </c>
      <c r="E68" s="18">
        <f ca="1">DATEDIF(TEXT(MID(F68,7,8),"#-00-00"),TODAY(),"y")</f>
        <v>58</v>
      </c>
      <c r="F68" s="67" t="s">
        <v>152</v>
      </c>
      <c r="G68" s="69" t="s">
        <v>143</v>
      </c>
      <c r="H68" s="21" t="s">
        <v>7</v>
      </c>
      <c r="I68" s="21" t="s">
        <v>17</v>
      </c>
      <c r="J68" s="22" t="s">
        <v>1</v>
      </c>
    </row>
    <row r="69" spans="1:10" s="6" customFormat="1" ht="18" customHeight="1">
      <c r="A69" s="16">
        <f>ROW()-5</f>
        <v>64</v>
      </c>
      <c r="B69" s="17" t="s">
        <v>112</v>
      </c>
      <c r="C69" s="18" t="s">
        <v>146</v>
      </c>
      <c r="D69" s="19">
        <v>18755</v>
      </c>
      <c r="E69" s="18">
        <f ca="1">DATEDIF(TEXT(MID(F69,7,8),"#-00-00"),TODAY(),"y")</f>
        <v>58</v>
      </c>
      <c r="F69" s="73" t="s">
        <v>100</v>
      </c>
      <c r="G69" s="71" t="s">
        <v>142</v>
      </c>
      <c r="H69" s="21" t="s">
        <v>0</v>
      </c>
      <c r="I69" s="21"/>
      <c r="J69" s="22" t="s">
        <v>0</v>
      </c>
    </row>
    <row r="70" spans="1:10" s="6" customFormat="1" ht="18" customHeight="1">
      <c r="A70" s="16">
        <f>ROW()-5</f>
        <v>65</v>
      </c>
      <c r="B70" s="20" t="s">
        <v>116</v>
      </c>
      <c r="C70" s="18" t="s">
        <v>148</v>
      </c>
      <c r="D70" s="19">
        <v>18857</v>
      </c>
      <c r="E70" s="18">
        <f ca="1">DATEDIF(TEXT(MID(F70,7,8),"#-00-00"),TODAY(),"y")</f>
        <v>58</v>
      </c>
      <c r="F70" s="67" t="s">
        <v>60</v>
      </c>
      <c r="G70" s="68" t="s">
        <v>145</v>
      </c>
      <c r="H70" s="21" t="s">
        <v>8</v>
      </c>
      <c r="I70" s="21" t="s">
        <v>15</v>
      </c>
      <c r="J70" s="22" t="s">
        <v>1</v>
      </c>
    </row>
    <row r="71" spans="1:10" s="6" customFormat="1" ht="18" customHeight="1">
      <c r="A71" s="16">
        <f>ROW()-5</f>
        <v>66</v>
      </c>
      <c r="B71" s="17" t="s">
        <v>114</v>
      </c>
      <c r="C71" s="18" t="s">
        <v>146</v>
      </c>
      <c r="D71" s="19">
        <v>18473</v>
      </c>
      <c r="E71" s="18">
        <f ca="1">DATEDIF(TEXT(MID(F71,7,8),"#-00-00"),TODAY(),"y")</f>
        <v>59</v>
      </c>
      <c r="F71" s="73" t="s">
        <v>98</v>
      </c>
      <c r="G71" s="71" t="s">
        <v>142</v>
      </c>
      <c r="H71" s="21" t="s">
        <v>0</v>
      </c>
      <c r="I71" s="21"/>
      <c r="J71" s="22" t="s">
        <v>0</v>
      </c>
    </row>
    <row r="72" spans="1:10" s="6" customFormat="1" ht="18" customHeight="1">
      <c r="A72" s="16">
        <f>ROW()-5</f>
        <v>67</v>
      </c>
      <c r="B72" s="17" t="s">
        <v>114</v>
      </c>
      <c r="C72" s="18" t="s">
        <v>146</v>
      </c>
      <c r="D72" s="19">
        <v>18504</v>
      </c>
      <c r="E72" s="18">
        <f ca="1">DATEDIF(TEXT(MID(F72,7,8),"#-00-00"),TODAY(),"y")</f>
        <v>59</v>
      </c>
      <c r="F72" s="73" t="s">
        <v>99</v>
      </c>
      <c r="G72" s="71" t="s">
        <v>142</v>
      </c>
      <c r="H72" s="21" t="s">
        <v>0</v>
      </c>
      <c r="I72" s="21"/>
      <c r="J72" s="22" t="s">
        <v>0</v>
      </c>
    </row>
    <row r="73" spans="1:10" s="6" customFormat="1" ht="18" customHeight="1">
      <c r="A73" s="16">
        <f>ROW()-5</f>
        <v>68</v>
      </c>
      <c r="B73" s="20" t="s">
        <v>114</v>
      </c>
      <c r="C73" s="18" t="s">
        <v>148</v>
      </c>
      <c r="D73" s="19">
        <v>18509</v>
      </c>
      <c r="E73" s="18">
        <f ca="1">DATEDIF(TEXT(MID(F73,7,8),"#-00-00"),TODAY(),"y")</f>
        <v>59</v>
      </c>
      <c r="F73" s="67" t="s">
        <v>177</v>
      </c>
      <c r="G73" s="68" t="s">
        <v>142</v>
      </c>
      <c r="H73" s="21" t="s">
        <v>6</v>
      </c>
      <c r="I73" s="21" t="s">
        <v>15</v>
      </c>
      <c r="J73" s="22" t="s">
        <v>1</v>
      </c>
    </row>
    <row r="74" spans="1:10" s="6" customFormat="1" ht="18" customHeight="1">
      <c r="A74" s="16">
        <f>ROW()-5</f>
        <v>69</v>
      </c>
      <c r="B74" s="17" t="s">
        <v>137</v>
      </c>
      <c r="C74" s="18" t="s">
        <v>146</v>
      </c>
      <c r="D74" s="19">
        <v>18598</v>
      </c>
      <c r="E74" s="18">
        <f ca="1">DATEDIF(TEXT(MID(F74,7,8),"#-00-00"),TODAY(),"y")</f>
        <v>59</v>
      </c>
      <c r="F74" s="73" t="s">
        <v>150</v>
      </c>
      <c r="G74" s="71" t="s">
        <v>142</v>
      </c>
      <c r="H74" s="21" t="s">
        <v>0</v>
      </c>
      <c r="I74" s="21"/>
      <c r="J74" s="22" t="s">
        <v>0</v>
      </c>
    </row>
    <row r="75" spans="1:10" s="6" customFormat="1" ht="18" customHeight="1">
      <c r="A75" s="16">
        <f>ROW()-5</f>
        <v>70</v>
      </c>
      <c r="B75" s="20" t="s">
        <v>117</v>
      </c>
      <c r="C75" s="18" t="s">
        <v>148</v>
      </c>
      <c r="D75" s="19">
        <v>18678</v>
      </c>
      <c r="E75" s="18">
        <f ca="1">DATEDIF(TEXT(MID(F75,7,8),"#-00-00"),TODAY(),"y")</f>
        <v>59</v>
      </c>
      <c r="F75" s="67" t="s">
        <v>69</v>
      </c>
      <c r="G75" s="68" t="s">
        <v>142</v>
      </c>
      <c r="H75" s="21" t="s">
        <v>6</v>
      </c>
      <c r="I75" s="21" t="s">
        <v>19</v>
      </c>
      <c r="J75" s="22" t="s">
        <v>1</v>
      </c>
    </row>
    <row r="76" spans="1:10" s="6" customFormat="1" ht="18" customHeight="1">
      <c r="A76" s="16">
        <f>ROW()-5</f>
        <v>71</v>
      </c>
      <c r="B76" s="17" t="s">
        <v>133</v>
      </c>
      <c r="C76" s="18" t="s">
        <v>148</v>
      </c>
      <c r="D76" s="19">
        <v>18698</v>
      </c>
      <c r="E76" s="18">
        <f ca="1">DATEDIF(TEXT(MID(F76,7,8),"#-00-00"),TODAY(),"y")</f>
        <v>59</v>
      </c>
      <c r="F76" s="67" t="s">
        <v>178</v>
      </c>
      <c r="G76" s="68" t="s">
        <v>145</v>
      </c>
      <c r="H76" s="21" t="s">
        <v>7</v>
      </c>
      <c r="I76" s="21" t="s">
        <v>16</v>
      </c>
      <c r="J76" s="22" t="s">
        <v>1</v>
      </c>
    </row>
    <row r="77" spans="1:10" s="6" customFormat="1" ht="18" customHeight="1">
      <c r="A77" s="16">
        <f>ROW()-5</f>
        <v>72</v>
      </c>
      <c r="B77" s="17" t="s">
        <v>124</v>
      </c>
      <c r="C77" s="18" t="s">
        <v>146</v>
      </c>
      <c r="D77" s="19">
        <v>18185</v>
      </c>
      <c r="E77" s="18">
        <f ca="1">DATEDIF(TEXT(MID(F77,7,8),"#-00-00"),TODAY(),"y")</f>
        <v>60</v>
      </c>
      <c r="F77" s="73" t="s">
        <v>149</v>
      </c>
      <c r="G77" s="71" t="s">
        <v>142</v>
      </c>
      <c r="H77" s="21" t="s">
        <v>0</v>
      </c>
      <c r="I77" s="21"/>
      <c r="J77" s="22" t="s">
        <v>0</v>
      </c>
    </row>
    <row r="78" spans="1:10" s="6" customFormat="1" ht="18" customHeight="1">
      <c r="A78" s="16">
        <f>ROW()-5</f>
        <v>73</v>
      </c>
      <c r="B78" s="20" t="s">
        <v>122</v>
      </c>
      <c r="C78" s="18" t="s">
        <v>148</v>
      </c>
      <c r="D78" s="19">
        <v>18206</v>
      </c>
      <c r="E78" s="18">
        <f ca="1">DATEDIF(TEXT(MID(F78,7,8),"#-00-00"),TODAY(),"y")</f>
        <v>60</v>
      </c>
      <c r="F78" s="67" t="s">
        <v>54</v>
      </c>
      <c r="G78" s="68" t="s">
        <v>143</v>
      </c>
      <c r="H78" s="21" t="s">
        <v>101</v>
      </c>
      <c r="I78" s="21" t="s">
        <v>15</v>
      </c>
      <c r="J78" s="22" t="s">
        <v>1</v>
      </c>
    </row>
    <row r="79" spans="1:10" s="6" customFormat="1" ht="18" customHeight="1">
      <c r="A79" s="16">
        <f>ROW()-5</f>
        <v>74</v>
      </c>
      <c r="B79" s="20" t="s">
        <v>135</v>
      </c>
      <c r="C79" s="18" t="s">
        <v>148</v>
      </c>
      <c r="D79" s="19">
        <v>17672</v>
      </c>
      <c r="E79" s="18">
        <f ca="1">DATEDIF(TEXT(MID(F79,7,8),"#-00-00"),TODAY(),"y")</f>
        <v>61</v>
      </c>
      <c r="F79" s="67" t="s">
        <v>95</v>
      </c>
      <c r="G79" s="68" t="s">
        <v>142</v>
      </c>
      <c r="H79" s="21" t="s">
        <v>0</v>
      </c>
      <c r="I79" s="21"/>
      <c r="J79" s="22" t="s">
        <v>0</v>
      </c>
    </row>
    <row r="80" spans="1:10" s="6" customFormat="1" ht="18" customHeight="1">
      <c r="A80" s="16">
        <f>ROW()-5</f>
        <v>75</v>
      </c>
      <c r="B80" s="20" t="s">
        <v>118</v>
      </c>
      <c r="C80" s="18" t="s">
        <v>148</v>
      </c>
      <c r="D80" s="19">
        <v>17830</v>
      </c>
      <c r="E80" s="18">
        <f ca="1">DATEDIF(TEXT(MID(F80,7,8),"#-00-00"),TODAY(),"y")</f>
        <v>61</v>
      </c>
      <c r="F80" s="67" t="s">
        <v>96</v>
      </c>
      <c r="G80" s="68" t="s">
        <v>142</v>
      </c>
      <c r="H80" s="21" t="s">
        <v>0</v>
      </c>
      <c r="I80" s="21"/>
      <c r="J80" s="22" t="s">
        <v>0</v>
      </c>
    </row>
    <row r="81" spans="1:10" s="6" customFormat="1" ht="18" customHeight="1">
      <c r="A81" s="16">
        <f>ROW()-5</f>
        <v>76</v>
      </c>
      <c r="B81" s="17" t="s">
        <v>118</v>
      </c>
      <c r="C81" s="18" t="s">
        <v>146</v>
      </c>
      <c r="D81" s="19">
        <v>17888</v>
      </c>
      <c r="E81" s="18">
        <f ca="1">DATEDIF(TEXT(MID(F81,7,8),"#-00-00"),TODAY(),"y")</f>
        <v>61</v>
      </c>
      <c r="F81" s="73" t="s">
        <v>97</v>
      </c>
      <c r="G81" s="71" t="s">
        <v>142</v>
      </c>
      <c r="H81" s="21" t="s">
        <v>0</v>
      </c>
      <c r="I81" s="21"/>
      <c r="J81" s="22" t="s">
        <v>0</v>
      </c>
    </row>
    <row r="82" spans="1:10" s="6" customFormat="1" ht="18" customHeight="1">
      <c r="A82" s="16">
        <f>ROW()-5</f>
        <v>77</v>
      </c>
      <c r="B82" s="17" t="s">
        <v>139</v>
      </c>
      <c r="C82" s="18" t="s">
        <v>146</v>
      </c>
      <c r="D82" s="19">
        <v>17567</v>
      </c>
      <c r="E82" s="18">
        <f ca="1">DATEDIF(TEXT(MID(F82,7,8),"#-00-00"),TODAY(),"y")</f>
        <v>62</v>
      </c>
      <c r="F82" s="73" t="s">
        <v>94</v>
      </c>
      <c r="G82" s="71" t="s">
        <v>142</v>
      </c>
      <c r="H82" s="21" t="s">
        <v>0</v>
      </c>
      <c r="I82" s="21"/>
      <c r="J82" s="22" t="s">
        <v>0</v>
      </c>
    </row>
    <row r="83" spans="1:10" s="6" customFormat="1" ht="18" customHeight="1">
      <c r="A83" s="16">
        <f>ROW()-5</f>
        <v>78</v>
      </c>
      <c r="B83" s="17" t="s">
        <v>119</v>
      </c>
      <c r="C83" s="18" t="s">
        <v>11</v>
      </c>
      <c r="D83" s="19">
        <v>17041</v>
      </c>
      <c r="E83" s="18">
        <f ca="1">DATEDIF(TEXT(MID(F83,7,8),"#-00-00"),TODAY(),"y")</f>
        <v>63</v>
      </c>
      <c r="F83" s="23" t="s">
        <v>93</v>
      </c>
      <c r="G83" s="71" t="s">
        <v>142</v>
      </c>
      <c r="H83" s="21" t="s">
        <v>0</v>
      </c>
      <c r="I83" s="21"/>
      <c r="J83" s="22" t="s">
        <v>0</v>
      </c>
    </row>
  </sheetData>
  <sheetProtection sheet="1" objects="1" scenarios="1"/>
  <sortState ref="A6:J83">
    <sortCondition ref="E6" customList="经理室,办公室,行政科,生技科,财务科,营业部,其他,退休"/>
    <sortCondition ref="D6"/>
  </sortState>
  <mergeCells count="2">
    <mergeCell ref="A1:J1"/>
    <mergeCell ref="H3:J3"/>
  </mergeCells>
  <phoneticPr fontId="2" type="noConversion"/>
  <dataValidations count="8">
    <dataValidation type="list" allowBlank="1" showInputMessage="1" showErrorMessage="1" sqref="I72 I57:I62 I77 I52 I27:I29">
      <formula1>"经理,副经理,支书,副支书,经理助理,中层正职,中层副职,总账会计,辅助会计,辅助会计,出纳会计,协理员,管理员,驾驶员,办事员,科档员,计量员,收费员,发货员,采购员,化验员,监察队员,班组长,拆表工,抄表工,勘估设计,预决算,校表工,换表工,机修工,电工,中控值班,制水工,安装工,外借,内退"</formula1>
    </dataValidation>
    <dataValidation type="list" allowBlank="1" showInputMessage="1" showErrorMessage="1" sqref="I63:I71 H19:H20 H49 H51:I51 H53:H71 I78:I83 I73:I76 I53:I56 H73:H83 H15:H16 H39:H47 H34:H37 H31:H32 H9:H13 I6:I26 H22:H26 I30 I32 I34 I36:I39 I42 I44:I49">
      <formula1>"在职,退休"</formula1>
    </dataValidation>
    <dataValidation type="list" allowBlank="1" showInputMessage="1" showErrorMessage="1" sqref="J73:J83 J70:J71 J62:J68 J30:J56 J6:J27">
      <formula1>"经理室,办公室,生技科,财务科,营业部,制水车间,污水厂,其他,安装公司,退休"</formula1>
    </dataValidation>
    <dataValidation type="list" allowBlank="1" showInputMessage="1" showErrorMessage="1" sqref="H52 H72 H28:H30">
      <formula1>"经理室,办公室,行政科,生技科,财务科,营业部,制水车间,污水厂,其他,安装公司,退休"</formula1>
    </dataValidation>
    <dataValidation type="list" allowBlank="1" showInputMessage="1" showErrorMessage="1" sqref="J57:J61 J69 J72 J28:J29">
      <formula1>"在职,内退,退休"</formula1>
    </dataValidation>
    <dataValidation type="list" allowBlank="1" showInputMessage="1" showErrorMessage="1" sqref="H48 H50 H17:H18 H6:H8 H33 H27 H21 H14 H38">
      <formula1>"经理室,办公室,行政科,生技科,财务科,营业部,其他,退休"</formula1>
    </dataValidation>
    <dataValidation type="list" allowBlank="1" showInputMessage="1" showErrorMessage="1" sqref="I31 I33 I35 I40:I41 I43">
      <formula1>"经理,副经理,支书,副支书,经理助理,中层正职,中层副职,总账会计,辅助会计,辅助会计,出纳会计,协理员,管理员,驾驶员,办事员,科档员,计量员,收费员,发货员,采购员,化验员,监察队员,班组长,拆表工,抄表工,勘估设计,预决算,校表工,换表工,机修工,电工,中控值班,制水工,内退,安装工,外借,"</formula1>
    </dataValidation>
    <dataValidation type="list" allowBlank="1" showInputMessage="1" showErrorMessage="1" sqref="G19:G83 G6:G17">
      <formula1>"高级会计师,会计师,助理会计师,会计员,高级工程师,工程师,助理工程师,技术员,高级经济师,经济师,助理经济师,无"</formula1>
    </dataValidation>
  </dataValidations>
  <printOptions horizontalCentered="1"/>
  <pageMargins left="0.19685039370078741" right="0.19685039370078741" top="0.98425196850393704" bottom="0.98425196850393704" header="0.51181102362204722" footer="0.51181102362204722"/>
  <pageSetup paperSize="9" orientation="portrait" r:id="rId1"/>
  <headerFooter alignWithMargins="0">
    <oddFooter>第 &amp;P 页，共 &amp;N 页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autoPageBreaks="0"/>
  </sheetPr>
  <dimension ref="A1:J150"/>
  <sheetViews>
    <sheetView showGridLines="0" showZeros="0" showOutlineSymbols="0" zoomScaleNormal="100" workbookViewId="0">
      <pane ySplit="5" topLeftCell="A6" activePane="bottomLeft" state="frozen"/>
      <selection pane="bottomLeft" activeCell="A2" sqref="A2"/>
    </sheetView>
  </sheetViews>
  <sheetFormatPr defaultRowHeight="14.25"/>
  <cols>
    <col min="1" max="1" width="3.625" style="28" customWidth="1"/>
    <col min="2" max="2" width="7.625" style="28" customWidth="1"/>
    <col min="3" max="3" width="4.125" style="28" customWidth="1"/>
    <col min="4" max="4" width="10.625" style="64" customWidth="1"/>
    <col min="5" max="5" width="4.125" style="28" customWidth="1"/>
    <col min="6" max="6" width="20.625" style="65" customWidth="1"/>
    <col min="7" max="7" width="10.625" style="65" customWidth="1"/>
    <col min="8" max="9" width="10.625" style="28" customWidth="1"/>
    <col min="10" max="10" width="8.625" style="66" customWidth="1"/>
    <col min="11" max="16384" width="9" style="38"/>
  </cols>
  <sheetData>
    <row r="1" spans="1:10" ht="43.5" customHeight="1">
      <c r="A1" s="77" t="str">
        <f>花名册!A1</f>
        <v>南通市XX有限责任公司员工花名册</v>
      </c>
      <c r="B1" s="77"/>
      <c r="C1" s="77"/>
      <c r="D1" s="77"/>
      <c r="E1" s="77"/>
      <c r="F1" s="77"/>
      <c r="G1" s="77"/>
      <c r="H1" s="77"/>
      <c r="I1" s="77"/>
      <c r="J1" s="77"/>
    </row>
    <row r="2" spans="1:10" ht="15" customHeight="1">
      <c r="A2" s="39"/>
      <c r="B2" s="40"/>
      <c r="C2" s="41"/>
      <c r="D2" s="42"/>
      <c r="E2" s="43"/>
      <c r="F2" s="43"/>
      <c r="G2" s="43"/>
      <c r="H2" s="44" t="str">
        <f>"合计" &amp; COUNTA(B:B)-1 &amp;"人  男" &amp; COUNTIF(C:C,"男") &amp; "人 女" &amp; COUNTIF(C:C,"女") &amp; "人"</f>
        <v>合计5人  男4人 女1人</v>
      </c>
      <c r="I2" s="44"/>
      <c r="J2" s="44"/>
    </row>
    <row r="3" spans="1:10" ht="15" customHeight="1">
      <c r="A3" s="45"/>
      <c r="B3" s="45"/>
      <c r="C3" s="41"/>
      <c r="D3" s="46"/>
      <c r="E3" s="41"/>
      <c r="F3" s="47"/>
      <c r="G3" s="47"/>
      <c r="H3" s="78" t="str">
        <f>"在职"&amp;COUNTIF(J:J,"在职")&amp;"人 内退"&amp;COUNTIF(J:J,"内退")&amp;"人 退休"&amp;COUNTIF(J:J,"退休")&amp;"人"</f>
        <v>在职5人 内退0人 退休0人</v>
      </c>
      <c r="I3" s="78"/>
      <c r="J3" s="78"/>
    </row>
    <row r="4" spans="1:10" ht="5.25" customHeight="1">
      <c r="A4" s="39"/>
      <c r="B4" s="48"/>
      <c r="C4" s="41"/>
      <c r="D4" s="46"/>
      <c r="E4" s="41"/>
      <c r="F4" s="47"/>
      <c r="G4" s="47"/>
      <c r="H4" s="49"/>
      <c r="I4" s="49"/>
      <c r="J4" s="50"/>
    </row>
    <row r="5" spans="1:10" ht="35.25" customHeight="1">
      <c r="A5" s="51" t="s">
        <v>109</v>
      </c>
      <c r="B5" s="52" t="s">
        <v>102</v>
      </c>
      <c r="C5" s="51" t="s">
        <v>110</v>
      </c>
      <c r="D5" s="53" t="s">
        <v>103</v>
      </c>
      <c r="E5" s="54" t="s">
        <v>111</v>
      </c>
      <c r="F5" s="55" t="s">
        <v>104</v>
      </c>
      <c r="G5" s="55" t="s">
        <v>105</v>
      </c>
      <c r="H5" s="56" t="s">
        <v>106</v>
      </c>
      <c r="I5" s="56" t="s">
        <v>107</v>
      </c>
      <c r="J5" s="56" t="s">
        <v>108</v>
      </c>
    </row>
    <row r="6" spans="1:10" s="59" customFormat="1" ht="18" customHeight="1">
      <c r="A6" s="16">
        <f t="shared" ref="A6:A10" si="0">ROW()-5</f>
        <v>1</v>
      </c>
      <c r="B6" s="57" t="s">
        <v>116</v>
      </c>
      <c r="C6" s="18" t="s">
        <v>11</v>
      </c>
      <c r="D6" s="19">
        <v>18857</v>
      </c>
      <c r="E6" s="18">
        <v>58</v>
      </c>
      <c r="F6" s="57" t="s">
        <v>151</v>
      </c>
      <c r="G6" s="57" t="s">
        <v>145</v>
      </c>
      <c r="H6" s="58" t="s">
        <v>8</v>
      </c>
      <c r="I6" s="58" t="s">
        <v>15</v>
      </c>
      <c r="J6" s="18" t="s">
        <v>1</v>
      </c>
    </row>
    <row r="7" spans="1:10" s="59" customFormat="1" ht="18" customHeight="1">
      <c r="A7" s="16">
        <f t="shared" si="0"/>
        <v>2</v>
      </c>
      <c r="B7" s="57" t="s">
        <v>120</v>
      </c>
      <c r="C7" s="18" t="s">
        <v>11</v>
      </c>
      <c r="D7" s="19">
        <v>20834</v>
      </c>
      <c r="E7" s="18">
        <v>53</v>
      </c>
      <c r="F7" s="57" t="s">
        <v>2</v>
      </c>
      <c r="G7" s="57" t="s">
        <v>41</v>
      </c>
      <c r="H7" s="58" t="s">
        <v>8</v>
      </c>
      <c r="I7" s="58" t="s">
        <v>24</v>
      </c>
      <c r="J7" s="18" t="s">
        <v>1</v>
      </c>
    </row>
    <row r="8" spans="1:10" s="59" customFormat="1" ht="18" customHeight="1">
      <c r="A8" s="16">
        <f t="shared" si="0"/>
        <v>3</v>
      </c>
      <c r="B8" s="57" t="s">
        <v>112</v>
      </c>
      <c r="C8" s="18" t="s">
        <v>11</v>
      </c>
      <c r="D8" s="19">
        <v>21156</v>
      </c>
      <c r="E8" s="18">
        <v>52</v>
      </c>
      <c r="F8" s="57" t="s">
        <v>174</v>
      </c>
      <c r="G8" s="57" t="s">
        <v>145</v>
      </c>
      <c r="H8" s="58" t="s">
        <v>8</v>
      </c>
      <c r="I8" s="58" t="s">
        <v>22</v>
      </c>
      <c r="J8" s="18" t="s">
        <v>1</v>
      </c>
    </row>
    <row r="9" spans="1:10" s="59" customFormat="1" ht="18" customHeight="1">
      <c r="A9" s="16">
        <f t="shared" si="0"/>
        <v>4</v>
      </c>
      <c r="B9" s="57" t="s">
        <v>136</v>
      </c>
      <c r="C9" s="18" t="s">
        <v>18</v>
      </c>
      <c r="D9" s="19">
        <v>23049</v>
      </c>
      <c r="E9" s="18">
        <v>47</v>
      </c>
      <c r="F9" s="57" t="s">
        <v>156</v>
      </c>
      <c r="G9" s="57" t="s">
        <v>41</v>
      </c>
      <c r="H9" s="58" t="s">
        <v>8</v>
      </c>
      <c r="I9" s="58" t="s">
        <v>30</v>
      </c>
      <c r="J9" s="18" t="s">
        <v>1</v>
      </c>
    </row>
    <row r="10" spans="1:10" s="59" customFormat="1" ht="18" customHeight="1">
      <c r="A10" s="16">
        <f t="shared" si="0"/>
        <v>5</v>
      </c>
      <c r="B10" s="57" t="s">
        <v>131</v>
      </c>
      <c r="C10" s="18" t="s">
        <v>11</v>
      </c>
      <c r="D10" s="19">
        <v>25423</v>
      </c>
      <c r="E10" s="18">
        <v>40</v>
      </c>
      <c r="F10" s="57" t="s">
        <v>159</v>
      </c>
      <c r="G10" s="57" t="s">
        <v>33</v>
      </c>
      <c r="H10" s="58" t="s">
        <v>8</v>
      </c>
      <c r="I10" s="58" t="s">
        <v>24</v>
      </c>
      <c r="J10" s="18" t="s">
        <v>1</v>
      </c>
    </row>
    <row r="11" spans="1:10" s="59" customFormat="1" ht="18" customHeight="1">
      <c r="A11" s="27"/>
      <c r="B11" s="60"/>
      <c r="C11" s="33"/>
      <c r="D11" s="34"/>
      <c r="E11" s="33"/>
      <c r="F11" s="60"/>
      <c r="G11" s="60"/>
      <c r="H11" s="61"/>
      <c r="I11" s="61"/>
      <c r="J11" s="33"/>
    </row>
    <row r="12" spans="1:10" s="59" customFormat="1" ht="18" customHeight="1">
      <c r="A12" s="27"/>
      <c r="B12" s="60"/>
      <c r="C12" s="33"/>
      <c r="D12" s="34"/>
      <c r="E12" s="33"/>
      <c r="F12" s="60"/>
      <c r="G12" s="60"/>
      <c r="H12" s="61"/>
      <c r="I12" s="61"/>
      <c r="J12" s="33"/>
    </row>
    <row r="13" spans="1:10" s="59" customFormat="1" ht="18" customHeight="1">
      <c r="A13" s="27"/>
      <c r="B13" s="60"/>
      <c r="C13" s="33"/>
      <c r="D13" s="34"/>
      <c r="E13" s="33"/>
      <c r="F13" s="60"/>
      <c r="G13" s="60"/>
      <c r="H13" s="61"/>
      <c r="I13" s="61"/>
      <c r="J13" s="33"/>
    </row>
    <row r="14" spans="1:10" s="59" customFormat="1" ht="18" customHeight="1">
      <c r="A14" s="27"/>
      <c r="B14" s="60"/>
      <c r="C14" s="33"/>
      <c r="D14" s="34"/>
      <c r="E14" s="33"/>
      <c r="F14" s="60"/>
      <c r="G14" s="60"/>
      <c r="H14" s="61"/>
      <c r="I14" s="61"/>
      <c r="J14" s="33"/>
    </row>
    <row r="15" spans="1:10" s="59" customFormat="1" ht="18" customHeight="1">
      <c r="A15" s="27"/>
      <c r="B15" s="60"/>
      <c r="C15" s="33"/>
      <c r="D15" s="34"/>
      <c r="E15" s="33"/>
      <c r="F15" s="60"/>
      <c r="G15" s="60"/>
      <c r="H15" s="61"/>
      <c r="I15" s="61"/>
      <c r="J15" s="33"/>
    </row>
    <row r="16" spans="1:10" s="59" customFormat="1" ht="18" customHeight="1">
      <c r="A16" s="27"/>
      <c r="B16" s="27"/>
      <c r="C16" s="33"/>
      <c r="D16" s="34"/>
      <c r="E16" s="33"/>
      <c r="F16" s="60"/>
      <c r="G16" s="60"/>
      <c r="H16" s="61"/>
      <c r="I16" s="61"/>
      <c r="J16" s="33"/>
    </row>
    <row r="17" spans="1:10" s="59" customFormat="1" ht="18" customHeight="1">
      <c r="A17" s="27"/>
      <c r="B17" s="60"/>
      <c r="C17" s="33"/>
      <c r="D17" s="34"/>
      <c r="E17" s="33"/>
      <c r="F17" s="60"/>
      <c r="G17" s="60"/>
      <c r="H17" s="61"/>
      <c r="I17" s="61"/>
      <c r="J17" s="33"/>
    </row>
    <row r="18" spans="1:10" s="59" customFormat="1" ht="18" customHeight="1">
      <c r="A18" s="27"/>
      <c r="B18" s="60"/>
      <c r="C18" s="33"/>
      <c r="D18" s="34"/>
      <c r="E18" s="33"/>
      <c r="F18" s="60"/>
      <c r="G18" s="60"/>
      <c r="H18" s="61"/>
      <c r="I18" s="61"/>
      <c r="J18" s="33"/>
    </row>
    <row r="19" spans="1:10" s="59" customFormat="1" ht="18" customHeight="1">
      <c r="A19" s="27"/>
      <c r="B19" s="27"/>
      <c r="C19" s="33"/>
      <c r="D19" s="34"/>
      <c r="E19" s="33"/>
      <c r="F19" s="60"/>
      <c r="G19" s="60"/>
      <c r="H19" s="61"/>
      <c r="I19" s="61"/>
      <c r="J19" s="33"/>
    </row>
    <row r="20" spans="1:10" s="59" customFormat="1" ht="18" customHeight="1">
      <c r="A20" s="27"/>
      <c r="B20" s="60"/>
      <c r="C20" s="33"/>
      <c r="D20" s="34"/>
      <c r="E20" s="33"/>
      <c r="F20" s="60"/>
      <c r="G20" s="60"/>
      <c r="H20" s="61"/>
      <c r="I20" s="61"/>
      <c r="J20" s="33"/>
    </row>
    <row r="21" spans="1:10" s="59" customFormat="1" ht="18" customHeight="1">
      <c r="A21" s="27"/>
      <c r="B21" s="60"/>
      <c r="C21" s="33"/>
      <c r="D21" s="34"/>
      <c r="E21" s="33"/>
      <c r="F21" s="60"/>
      <c r="G21" s="60"/>
      <c r="H21" s="61"/>
      <c r="I21" s="61"/>
      <c r="J21" s="33"/>
    </row>
    <row r="22" spans="1:10" s="59" customFormat="1" ht="18" customHeight="1">
      <c r="A22" s="27"/>
      <c r="B22" s="60"/>
      <c r="C22" s="33"/>
      <c r="D22" s="34"/>
      <c r="E22" s="33"/>
      <c r="F22" s="60"/>
      <c r="G22" s="62"/>
      <c r="H22" s="61"/>
      <c r="I22" s="61"/>
      <c r="J22" s="33"/>
    </row>
    <row r="23" spans="1:10" s="59" customFormat="1" ht="18" customHeight="1">
      <c r="A23" s="27"/>
      <c r="B23" s="60"/>
      <c r="C23" s="33"/>
      <c r="D23" s="34"/>
      <c r="E23" s="33"/>
      <c r="F23" s="60"/>
      <c r="G23" s="60"/>
      <c r="H23" s="61"/>
      <c r="I23" s="61"/>
      <c r="J23" s="33"/>
    </row>
    <row r="24" spans="1:10" s="59" customFormat="1" ht="18" customHeight="1">
      <c r="A24" s="27"/>
      <c r="B24" s="60"/>
      <c r="C24" s="33"/>
      <c r="D24" s="34"/>
      <c r="E24" s="33"/>
      <c r="F24" s="60"/>
      <c r="G24" s="60"/>
      <c r="H24" s="27"/>
      <c r="I24" s="27"/>
      <c r="J24" s="33"/>
    </row>
    <row r="25" spans="1:10" s="59" customFormat="1" ht="18" customHeight="1">
      <c r="A25" s="27"/>
      <c r="B25" s="27"/>
      <c r="C25" s="33"/>
      <c r="D25" s="34"/>
      <c r="E25" s="33"/>
      <c r="F25" s="60"/>
      <c r="G25" s="60"/>
      <c r="H25" s="61"/>
      <c r="I25" s="61"/>
      <c r="J25" s="33"/>
    </row>
    <row r="26" spans="1:10" s="59" customFormat="1" ht="18" customHeight="1">
      <c r="A26" s="27"/>
      <c r="B26" s="60"/>
      <c r="C26" s="33"/>
      <c r="D26" s="34"/>
      <c r="E26" s="33"/>
      <c r="F26" s="60"/>
      <c r="G26" s="60"/>
      <c r="H26" s="61"/>
      <c r="I26" s="61"/>
      <c r="J26" s="33"/>
    </row>
    <row r="27" spans="1:10" s="59" customFormat="1" ht="18" customHeight="1">
      <c r="A27" s="27"/>
      <c r="B27" s="60"/>
      <c r="C27" s="33"/>
      <c r="D27" s="34"/>
      <c r="E27" s="33"/>
      <c r="F27" s="60"/>
      <c r="G27" s="60"/>
      <c r="H27" s="61"/>
      <c r="I27" s="61"/>
      <c r="J27" s="33"/>
    </row>
    <row r="28" spans="1:10" s="59" customFormat="1" ht="18" customHeight="1">
      <c r="A28" s="27"/>
      <c r="B28" s="60"/>
      <c r="C28" s="33"/>
      <c r="D28" s="34"/>
      <c r="E28" s="33"/>
      <c r="F28" s="60"/>
      <c r="G28" s="60"/>
      <c r="H28" s="61"/>
      <c r="I28" s="61"/>
      <c r="J28" s="33"/>
    </row>
    <row r="29" spans="1:10" s="59" customFormat="1" ht="18" customHeight="1">
      <c r="A29" s="27"/>
      <c r="B29" s="60"/>
      <c r="C29" s="33"/>
      <c r="D29" s="34"/>
      <c r="E29" s="33"/>
      <c r="F29" s="60"/>
      <c r="G29" s="62"/>
      <c r="H29" s="61"/>
      <c r="I29" s="61"/>
      <c r="J29" s="33"/>
    </row>
    <row r="30" spans="1:10" s="59" customFormat="1" ht="18" customHeight="1">
      <c r="A30" s="27"/>
      <c r="B30" s="60"/>
      <c r="C30" s="33"/>
      <c r="D30" s="34"/>
      <c r="E30" s="33"/>
      <c r="F30" s="60"/>
      <c r="G30" s="60"/>
      <c r="H30" s="61"/>
      <c r="I30" s="61"/>
      <c r="J30" s="33"/>
    </row>
    <row r="31" spans="1:10" s="59" customFormat="1" ht="18" customHeight="1">
      <c r="A31" s="27"/>
      <c r="B31" s="60"/>
      <c r="C31" s="33"/>
      <c r="D31" s="34"/>
      <c r="E31" s="33"/>
      <c r="F31" s="60"/>
      <c r="G31" s="60"/>
      <c r="H31" s="61"/>
      <c r="I31" s="61"/>
      <c r="J31" s="33"/>
    </row>
    <row r="32" spans="1:10" s="59" customFormat="1" ht="18" customHeight="1">
      <c r="A32" s="27"/>
      <c r="B32" s="60"/>
      <c r="C32" s="33"/>
      <c r="D32" s="34"/>
      <c r="E32" s="33"/>
      <c r="F32" s="60"/>
      <c r="G32" s="60"/>
      <c r="H32" s="61"/>
      <c r="I32" s="61"/>
      <c r="J32" s="33"/>
    </row>
    <row r="33" spans="1:10" s="59" customFormat="1" ht="18" customHeight="1">
      <c r="A33" s="27"/>
      <c r="B33" s="60"/>
      <c r="C33" s="33"/>
      <c r="D33" s="34"/>
      <c r="E33" s="33"/>
      <c r="F33" s="60"/>
      <c r="G33" s="60"/>
      <c r="H33" s="61"/>
      <c r="I33" s="61"/>
      <c r="J33" s="33"/>
    </row>
    <row r="34" spans="1:10" s="59" customFormat="1" ht="18" customHeight="1">
      <c r="A34" s="27"/>
      <c r="B34" s="60"/>
      <c r="C34" s="33"/>
      <c r="D34" s="34"/>
      <c r="E34" s="33"/>
      <c r="F34" s="60"/>
      <c r="G34" s="60"/>
      <c r="H34" s="61"/>
      <c r="I34" s="61"/>
      <c r="J34" s="33"/>
    </row>
    <row r="35" spans="1:10" s="59" customFormat="1" ht="18" customHeight="1">
      <c r="A35" s="27"/>
      <c r="B35" s="60"/>
      <c r="C35" s="33"/>
      <c r="D35" s="34"/>
      <c r="E35" s="33"/>
      <c r="F35" s="60"/>
      <c r="G35" s="60"/>
      <c r="H35" s="61"/>
      <c r="I35" s="61"/>
      <c r="J35" s="33"/>
    </row>
    <row r="36" spans="1:10" s="59" customFormat="1" ht="18" customHeight="1">
      <c r="A36" s="27"/>
      <c r="B36" s="60"/>
      <c r="C36" s="33"/>
      <c r="D36" s="34"/>
      <c r="E36" s="33"/>
      <c r="F36" s="60"/>
      <c r="G36" s="60"/>
      <c r="H36" s="61"/>
      <c r="I36" s="61"/>
      <c r="J36" s="33"/>
    </row>
    <row r="37" spans="1:10" s="59" customFormat="1" ht="18" customHeight="1">
      <c r="A37" s="27"/>
      <c r="B37" s="60"/>
      <c r="C37" s="33"/>
      <c r="D37" s="34"/>
      <c r="E37" s="33"/>
      <c r="F37" s="60"/>
      <c r="G37" s="60"/>
      <c r="H37" s="61"/>
      <c r="I37" s="61"/>
      <c r="J37" s="33"/>
    </row>
    <row r="38" spans="1:10" s="59" customFormat="1" ht="18" customHeight="1">
      <c r="A38" s="27"/>
      <c r="B38" s="60"/>
      <c r="C38" s="33"/>
      <c r="D38" s="34"/>
      <c r="E38" s="33"/>
      <c r="F38" s="60"/>
      <c r="G38" s="60"/>
      <c r="H38" s="61"/>
      <c r="I38" s="61"/>
      <c r="J38" s="33"/>
    </row>
    <row r="39" spans="1:10" s="59" customFormat="1" ht="18" customHeight="1">
      <c r="A39" s="27"/>
      <c r="B39" s="60"/>
      <c r="C39" s="33"/>
      <c r="D39" s="34"/>
      <c r="E39" s="33"/>
      <c r="F39" s="60"/>
      <c r="G39" s="60"/>
      <c r="H39" s="61"/>
      <c r="I39" s="61"/>
      <c r="J39" s="33"/>
    </row>
    <row r="40" spans="1:10" s="59" customFormat="1" ht="18" customHeight="1">
      <c r="A40" s="27"/>
      <c r="B40" s="60"/>
      <c r="C40" s="33"/>
      <c r="D40" s="34"/>
      <c r="E40" s="33"/>
      <c r="F40" s="60"/>
      <c r="G40" s="60"/>
      <c r="H40" s="61"/>
      <c r="I40" s="61"/>
      <c r="J40" s="33"/>
    </row>
    <row r="41" spans="1:10" s="59" customFormat="1" ht="18" customHeight="1">
      <c r="A41" s="27"/>
      <c r="B41" s="60"/>
      <c r="C41" s="33"/>
      <c r="D41" s="34"/>
      <c r="E41" s="33"/>
      <c r="F41" s="60"/>
      <c r="G41" s="60"/>
      <c r="H41" s="61"/>
      <c r="I41" s="61"/>
      <c r="J41" s="33"/>
    </row>
    <row r="42" spans="1:10" s="59" customFormat="1" ht="18" customHeight="1">
      <c r="A42" s="27"/>
      <c r="B42" s="60"/>
      <c r="C42" s="33"/>
      <c r="D42" s="34"/>
      <c r="E42" s="33"/>
      <c r="F42" s="60"/>
      <c r="G42" s="60"/>
      <c r="H42" s="61"/>
      <c r="I42" s="61"/>
      <c r="J42" s="33"/>
    </row>
    <row r="43" spans="1:10" s="59" customFormat="1" ht="18" customHeight="1">
      <c r="A43" s="27"/>
      <c r="B43" s="60"/>
      <c r="C43" s="33"/>
      <c r="D43" s="34"/>
      <c r="E43" s="33"/>
      <c r="F43" s="60"/>
      <c r="G43" s="60"/>
      <c r="H43" s="61"/>
      <c r="I43" s="61"/>
      <c r="J43" s="33"/>
    </row>
    <row r="44" spans="1:10" s="59" customFormat="1" ht="18" customHeight="1">
      <c r="A44" s="27"/>
      <c r="B44" s="60"/>
      <c r="C44" s="33"/>
      <c r="D44" s="34"/>
      <c r="E44" s="33"/>
      <c r="F44" s="60"/>
      <c r="G44" s="60"/>
      <c r="H44" s="61"/>
      <c r="I44" s="61"/>
      <c r="J44" s="33"/>
    </row>
    <row r="45" spans="1:10" s="59" customFormat="1" ht="18" customHeight="1">
      <c r="A45" s="27"/>
      <c r="B45" s="60"/>
      <c r="C45" s="33"/>
      <c r="D45" s="34"/>
      <c r="E45" s="33"/>
      <c r="F45" s="60"/>
      <c r="G45" s="60"/>
      <c r="H45" s="61"/>
      <c r="I45" s="61"/>
      <c r="J45" s="33"/>
    </row>
    <row r="46" spans="1:10" s="59" customFormat="1" ht="18" customHeight="1">
      <c r="A46" s="27"/>
      <c r="B46" s="27"/>
      <c r="C46" s="33"/>
      <c r="D46" s="34"/>
      <c r="E46" s="33"/>
      <c r="F46" s="60"/>
      <c r="G46" s="60"/>
      <c r="H46" s="61"/>
      <c r="I46" s="61"/>
      <c r="J46" s="33"/>
    </row>
    <row r="47" spans="1:10" s="59" customFormat="1" ht="18" customHeight="1">
      <c r="A47" s="27"/>
      <c r="B47" s="60"/>
      <c r="C47" s="33"/>
      <c r="D47" s="34"/>
      <c r="E47" s="33"/>
      <c r="F47" s="60"/>
      <c r="G47" s="60"/>
      <c r="H47" s="61"/>
      <c r="I47" s="61"/>
      <c r="J47" s="33"/>
    </row>
    <row r="48" spans="1:10" s="59" customFormat="1" ht="18" customHeight="1">
      <c r="A48" s="27"/>
      <c r="B48" s="60"/>
      <c r="C48" s="33"/>
      <c r="D48" s="34"/>
      <c r="E48" s="33"/>
      <c r="F48" s="60"/>
      <c r="G48" s="60"/>
      <c r="H48" s="61"/>
      <c r="I48" s="61"/>
      <c r="J48" s="33"/>
    </row>
    <row r="49" spans="1:10" s="59" customFormat="1" ht="18" customHeight="1">
      <c r="A49" s="27"/>
      <c r="B49" s="60"/>
      <c r="C49" s="33"/>
      <c r="D49" s="34"/>
      <c r="E49" s="33"/>
      <c r="F49" s="60"/>
      <c r="G49" s="60"/>
      <c r="H49" s="61"/>
      <c r="I49" s="61"/>
      <c r="J49" s="33"/>
    </row>
    <row r="50" spans="1:10" s="59" customFormat="1" ht="18" customHeight="1">
      <c r="A50" s="27"/>
      <c r="B50" s="60"/>
      <c r="C50" s="33"/>
      <c r="D50" s="34"/>
      <c r="E50" s="33"/>
      <c r="F50" s="60"/>
      <c r="G50" s="60"/>
      <c r="H50" s="61"/>
      <c r="I50" s="61"/>
      <c r="J50" s="33"/>
    </row>
    <row r="51" spans="1:10" s="59" customFormat="1" ht="18" customHeight="1">
      <c r="A51" s="27"/>
      <c r="B51" s="60"/>
      <c r="C51" s="33"/>
      <c r="D51" s="34"/>
      <c r="E51" s="33"/>
      <c r="F51" s="60"/>
      <c r="G51" s="60"/>
      <c r="H51" s="61"/>
      <c r="I51" s="61"/>
      <c r="J51" s="33"/>
    </row>
    <row r="52" spans="1:10" s="59" customFormat="1" ht="18" customHeight="1">
      <c r="A52" s="27"/>
      <c r="B52" s="60"/>
      <c r="C52" s="33"/>
      <c r="D52" s="34"/>
      <c r="E52" s="33"/>
      <c r="F52" s="60"/>
      <c r="G52" s="60"/>
      <c r="H52" s="61"/>
      <c r="I52" s="61"/>
      <c r="J52" s="33"/>
    </row>
    <row r="53" spans="1:10" s="59" customFormat="1" ht="18" customHeight="1">
      <c r="A53" s="27"/>
      <c r="B53" s="60"/>
      <c r="C53" s="33"/>
      <c r="D53" s="34"/>
      <c r="E53" s="33"/>
      <c r="F53" s="60"/>
      <c r="G53" s="60"/>
      <c r="H53" s="61"/>
      <c r="I53" s="61"/>
      <c r="J53" s="33"/>
    </row>
    <row r="54" spans="1:10" s="59" customFormat="1" ht="18" customHeight="1">
      <c r="A54" s="27"/>
      <c r="B54" s="60"/>
      <c r="C54" s="33"/>
      <c r="D54" s="34"/>
      <c r="E54" s="33"/>
      <c r="F54" s="60"/>
      <c r="G54" s="60"/>
      <c r="H54" s="61"/>
      <c r="I54" s="61"/>
      <c r="J54" s="33"/>
    </row>
    <row r="55" spans="1:10" s="59" customFormat="1" ht="18" customHeight="1">
      <c r="A55" s="27"/>
      <c r="B55" s="60"/>
      <c r="C55" s="33"/>
      <c r="D55" s="34"/>
      <c r="E55" s="33"/>
      <c r="F55" s="60"/>
      <c r="G55" s="60"/>
      <c r="H55" s="61"/>
      <c r="I55" s="61"/>
      <c r="J55" s="33"/>
    </row>
    <row r="56" spans="1:10" s="59" customFormat="1" ht="18" customHeight="1">
      <c r="A56" s="27"/>
      <c r="B56" s="60"/>
      <c r="C56" s="33"/>
      <c r="D56" s="34"/>
      <c r="E56" s="33"/>
      <c r="F56" s="60"/>
      <c r="G56" s="60"/>
      <c r="H56" s="61"/>
      <c r="I56" s="61"/>
      <c r="J56" s="33"/>
    </row>
    <row r="57" spans="1:10" s="59" customFormat="1" ht="18" customHeight="1">
      <c r="A57" s="27"/>
      <c r="B57" s="60"/>
      <c r="C57" s="33"/>
      <c r="D57" s="34"/>
      <c r="E57" s="33"/>
      <c r="F57" s="60"/>
      <c r="G57" s="60"/>
      <c r="H57" s="61"/>
      <c r="I57" s="61"/>
      <c r="J57" s="33"/>
    </row>
    <row r="58" spans="1:10" s="59" customFormat="1" ht="18" customHeight="1">
      <c r="A58" s="27"/>
      <c r="B58" s="27"/>
      <c r="C58" s="33"/>
      <c r="D58" s="34"/>
      <c r="E58" s="33"/>
      <c r="F58" s="63"/>
      <c r="G58" s="63"/>
      <c r="H58" s="61"/>
      <c r="I58" s="61"/>
      <c r="J58" s="33"/>
    </row>
    <row r="59" spans="1:10" s="59" customFormat="1" ht="18" customHeight="1">
      <c r="A59" s="27"/>
      <c r="B59" s="27"/>
      <c r="C59" s="33"/>
      <c r="D59" s="34"/>
      <c r="E59" s="33"/>
      <c r="F59" s="63"/>
      <c r="G59" s="63"/>
      <c r="H59" s="61"/>
      <c r="I59" s="61"/>
      <c r="J59" s="33"/>
    </row>
    <row r="60" spans="1:10" s="59" customFormat="1" ht="18" customHeight="1">
      <c r="A60" s="27"/>
      <c r="B60" s="27"/>
      <c r="C60" s="33"/>
      <c r="D60" s="34"/>
      <c r="E60" s="33"/>
      <c r="F60" s="63"/>
      <c r="G60" s="63"/>
      <c r="H60" s="61"/>
      <c r="I60" s="61"/>
      <c r="J60" s="33"/>
    </row>
    <row r="61" spans="1:10" s="59" customFormat="1" ht="18" customHeight="1">
      <c r="A61" s="27"/>
      <c r="B61" s="27"/>
      <c r="C61" s="33"/>
      <c r="D61" s="34"/>
      <c r="E61" s="33"/>
      <c r="F61" s="63"/>
      <c r="G61" s="63"/>
      <c r="H61" s="61"/>
      <c r="I61" s="61"/>
      <c r="J61" s="33"/>
    </row>
    <row r="62" spans="1:10" s="59" customFormat="1" ht="18" customHeight="1">
      <c r="A62" s="27"/>
      <c r="B62" s="27"/>
      <c r="C62" s="33"/>
      <c r="D62" s="34"/>
      <c r="E62" s="33"/>
      <c r="F62" s="63"/>
      <c r="G62" s="63"/>
      <c r="H62" s="61"/>
      <c r="I62" s="61"/>
      <c r="J62" s="33"/>
    </row>
    <row r="63" spans="1:10" s="59" customFormat="1" ht="18" customHeight="1">
      <c r="A63" s="27"/>
      <c r="B63" s="27"/>
      <c r="C63" s="33"/>
      <c r="D63" s="34"/>
      <c r="E63" s="33"/>
      <c r="F63" s="63"/>
      <c r="G63" s="63"/>
      <c r="H63" s="61"/>
      <c r="I63" s="61"/>
      <c r="J63" s="33"/>
    </row>
    <row r="64" spans="1:10" s="59" customFormat="1" ht="18" customHeight="1">
      <c r="A64" s="27"/>
      <c r="B64" s="27"/>
      <c r="C64" s="33"/>
      <c r="D64" s="34"/>
      <c r="E64" s="33"/>
      <c r="F64" s="63"/>
      <c r="G64" s="63"/>
      <c r="H64" s="61"/>
      <c r="I64" s="61"/>
      <c r="J64" s="33"/>
    </row>
    <row r="65" spans="1:10" s="59" customFormat="1" ht="18" customHeight="1">
      <c r="A65" s="27"/>
      <c r="B65" s="27"/>
      <c r="C65" s="33"/>
      <c r="D65" s="34"/>
      <c r="E65" s="33"/>
      <c r="F65" s="63"/>
      <c r="G65" s="63"/>
      <c r="H65" s="61"/>
      <c r="I65" s="61"/>
      <c r="J65" s="33"/>
    </row>
    <row r="66" spans="1:10" s="59" customFormat="1" ht="18" customHeight="1">
      <c r="A66" s="27"/>
      <c r="B66" s="27"/>
      <c r="C66" s="33"/>
      <c r="D66" s="34"/>
      <c r="E66" s="33"/>
      <c r="F66" s="63"/>
      <c r="G66" s="63"/>
      <c r="H66" s="61"/>
      <c r="I66" s="61"/>
      <c r="J66" s="33"/>
    </row>
    <row r="67" spans="1:10" s="59" customFormat="1" ht="18" customHeight="1">
      <c r="A67" s="27"/>
      <c r="B67" s="27"/>
      <c r="C67" s="33"/>
      <c r="D67" s="34"/>
      <c r="E67" s="33"/>
      <c r="F67" s="63"/>
      <c r="G67" s="63"/>
      <c r="H67" s="27"/>
      <c r="I67" s="27"/>
      <c r="J67" s="33"/>
    </row>
    <row r="68" spans="1:10" s="59" customFormat="1" ht="18" customHeight="1">
      <c r="A68" s="27"/>
      <c r="B68" s="27"/>
      <c r="C68" s="33"/>
      <c r="D68" s="34"/>
      <c r="E68" s="33"/>
      <c r="F68" s="63"/>
      <c r="G68" s="63"/>
      <c r="H68" s="61"/>
      <c r="I68" s="61"/>
      <c r="J68" s="33"/>
    </row>
    <row r="69" spans="1:10" s="59" customFormat="1" ht="18" customHeight="1">
      <c r="A69" s="27"/>
      <c r="B69" s="27"/>
      <c r="C69" s="33"/>
      <c r="D69" s="34"/>
      <c r="E69" s="33"/>
      <c r="F69" s="63"/>
      <c r="G69" s="63"/>
      <c r="H69" s="27"/>
      <c r="I69" s="27"/>
      <c r="J69" s="33"/>
    </row>
    <row r="70" spans="1:10" s="59" customFormat="1" ht="18" customHeight="1">
      <c r="A70" s="27"/>
      <c r="B70" s="27"/>
      <c r="C70" s="33"/>
      <c r="D70" s="34"/>
      <c r="E70" s="33"/>
      <c r="F70" s="63"/>
      <c r="G70" s="63"/>
      <c r="H70" s="61"/>
      <c r="I70" s="61"/>
      <c r="J70" s="33"/>
    </row>
    <row r="71" spans="1:10" s="59" customFormat="1" ht="18" customHeight="1">
      <c r="A71" s="27"/>
      <c r="B71" s="27"/>
      <c r="C71" s="33"/>
      <c r="D71" s="34"/>
      <c r="E71" s="33"/>
      <c r="F71" s="63"/>
      <c r="G71" s="63"/>
      <c r="H71" s="61"/>
      <c r="I71" s="61"/>
      <c r="J71" s="33"/>
    </row>
    <row r="72" spans="1:10" s="59" customFormat="1" ht="18" customHeight="1">
      <c r="A72" s="27"/>
      <c r="B72" s="27"/>
      <c r="C72" s="33"/>
      <c r="D72" s="34"/>
      <c r="E72" s="33"/>
      <c r="F72" s="63"/>
      <c r="G72" s="63"/>
      <c r="H72" s="61"/>
      <c r="I72" s="61"/>
      <c r="J72" s="33"/>
    </row>
    <row r="73" spans="1:10" s="59" customFormat="1" ht="18" customHeight="1">
      <c r="A73" s="27"/>
      <c r="B73" s="27"/>
      <c r="C73" s="33"/>
      <c r="D73" s="34"/>
      <c r="E73" s="33"/>
      <c r="F73" s="63"/>
      <c r="G73" s="63"/>
      <c r="H73" s="61"/>
      <c r="I73" s="61"/>
      <c r="J73" s="33"/>
    </row>
    <row r="74" spans="1:10" s="59" customFormat="1" ht="18" customHeight="1">
      <c r="A74" s="27"/>
      <c r="B74" s="27"/>
      <c r="C74" s="33"/>
      <c r="D74" s="34"/>
      <c r="E74" s="33"/>
      <c r="F74" s="63"/>
      <c r="G74" s="63"/>
      <c r="H74" s="61"/>
      <c r="I74" s="61"/>
      <c r="J74" s="33"/>
    </row>
    <row r="75" spans="1:10" s="59" customFormat="1" ht="18" customHeight="1">
      <c r="A75" s="27"/>
      <c r="B75" s="27"/>
      <c r="C75" s="33"/>
      <c r="D75" s="34"/>
      <c r="E75" s="33"/>
      <c r="F75" s="63"/>
      <c r="G75" s="63"/>
      <c r="H75" s="61"/>
      <c r="I75" s="61"/>
      <c r="J75" s="33"/>
    </row>
    <row r="76" spans="1:10" s="59" customFormat="1" ht="18" customHeight="1">
      <c r="A76" s="27"/>
      <c r="B76" s="27"/>
      <c r="C76" s="33"/>
      <c r="D76" s="34"/>
      <c r="E76" s="33"/>
      <c r="F76" s="63"/>
      <c r="G76" s="63"/>
      <c r="H76" s="61"/>
      <c r="I76" s="61"/>
      <c r="J76" s="33"/>
    </row>
    <row r="77" spans="1:10" s="59" customFormat="1" ht="18" customHeight="1">
      <c r="A77" s="27"/>
      <c r="B77" s="27"/>
      <c r="C77" s="33"/>
      <c r="D77" s="34"/>
      <c r="E77" s="33"/>
      <c r="F77" s="63"/>
      <c r="G77" s="63"/>
      <c r="H77" s="61"/>
      <c r="I77" s="61"/>
      <c r="J77" s="33"/>
    </row>
    <row r="78" spans="1:10" s="59" customFormat="1" ht="18" customHeight="1">
      <c r="A78" s="27"/>
      <c r="B78" s="27"/>
      <c r="C78" s="33"/>
      <c r="D78" s="34"/>
      <c r="E78" s="33"/>
      <c r="F78" s="63"/>
      <c r="G78" s="63"/>
      <c r="H78" s="61"/>
      <c r="I78" s="61"/>
      <c r="J78" s="33"/>
    </row>
    <row r="79" spans="1:10" s="59" customFormat="1" ht="18" customHeight="1">
      <c r="A79" s="27"/>
      <c r="B79" s="27"/>
      <c r="C79" s="33"/>
      <c r="D79" s="34"/>
      <c r="E79" s="33"/>
      <c r="F79" s="63"/>
      <c r="G79" s="63"/>
      <c r="H79" s="61"/>
      <c r="I79" s="61"/>
      <c r="J79" s="33"/>
    </row>
    <row r="80" spans="1:10" s="59" customFormat="1" ht="18" customHeight="1">
      <c r="A80" s="27"/>
      <c r="B80" s="60"/>
      <c r="C80" s="33"/>
      <c r="D80" s="34"/>
      <c r="E80" s="33"/>
      <c r="F80" s="60"/>
      <c r="G80" s="60"/>
      <c r="H80" s="61"/>
      <c r="I80" s="61"/>
      <c r="J80" s="33"/>
    </row>
    <row r="81" spans="1:10" s="59" customFormat="1" ht="18" customHeight="1">
      <c r="A81" s="27"/>
      <c r="B81" s="27"/>
      <c r="C81" s="33"/>
      <c r="D81" s="34"/>
      <c r="E81" s="33"/>
      <c r="F81" s="63"/>
      <c r="G81" s="63"/>
      <c r="H81" s="61"/>
      <c r="I81" s="61"/>
      <c r="J81" s="33"/>
    </row>
    <row r="82" spans="1:10" s="59" customFormat="1" ht="18" customHeight="1">
      <c r="A82" s="27"/>
      <c r="B82" s="60"/>
      <c r="C82" s="33"/>
      <c r="D82" s="34"/>
      <c r="E82" s="33"/>
      <c r="F82" s="60"/>
      <c r="G82" s="60"/>
      <c r="H82" s="61"/>
      <c r="I82" s="61"/>
      <c r="J82" s="33"/>
    </row>
    <row r="83" spans="1:10" s="59" customFormat="1" ht="18" customHeight="1">
      <c r="A83" s="27"/>
      <c r="B83" s="60"/>
      <c r="C83" s="33"/>
      <c r="D83" s="34"/>
      <c r="E83" s="33"/>
      <c r="F83" s="60"/>
      <c r="G83" s="60"/>
      <c r="H83" s="61"/>
      <c r="I83" s="61"/>
      <c r="J83" s="33"/>
    </row>
    <row r="84" spans="1:10" s="59" customFormat="1" ht="18" customHeight="1">
      <c r="A84" s="27"/>
      <c r="B84" s="27"/>
      <c r="C84" s="33"/>
      <c r="D84" s="34"/>
      <c r="E84" s="33"/>
      <c r="F84" s="63"/>
      <c r="G84" s="63"/>
      <c r="H84" s="61"/>
      <c r="I84" s="61"/>
      <c r="J84" s="33"/>
    </row>
    <row r="85" spans="1:10" s="59" customFormat="1" ht="18" customHeight="1">
      <c r="A85" s="27"/>
      <c r="B85" s="27"/>
      <c r="C85" s="33"/>
      <c r="D85" s="34"/>
      <c r="E85" s="33"/>
      <c r="F85" s="63"/>
      <c r="G85" s="63"/>
      <c r="H85" s="61"/>
      <c r="I85" s="61"/>
      <c r="J85" s="33"/>
    </row>
    <row r="86" spans="1:10" s="59" customFormat="1" ht="18" customHeight="1">
      <c r="A86" s="27"/>
      <c r="B86" s="27"/>
      <c r="C86" s="33"/>
      <c r="D86" s="34"/>
      <c r="E86" s="33"/>
      <c r="F86" s="63"/>
      <c r="G86" s="63"/>
      <c r="H86" s="61"/>
      <c r="I86" s="61"/>
      <c r="J86" s="33"/>
    </row>
    <row r="87" spans="1:10" s="59" customFormat="1" ht="18" customHeight="1">
      <c r="A87" s="27"/>
      <c r="B87" s="27"/>
      <c r="C87" s="33"/>
      <c r="D87" s="34"/>
      <c r="E87" s="33"/>
      <c r="F87" s="63"/>
      <c r="G87" s="63"/>
      <c r="H87" s="61"/>
      <c r="I87" s="61"/>
      <c r="J87" s="33"/>
    </row>
    <row r="88" spans="1:10" s="59" customFormat="1" ht="18" customHeight="1">
      <c r="A88" s="27"/>
      <c r="B88" s="27"/>
      <c r="C88" s="33"/>
      <c r="D88" s="34"/>
      <c r="E88" s="33"/>
      <c r="F88" s="63"/>
      <c r="G88" s="63"/>
      <c r="H88" s="61"/>
      <c r="I88" s="61"/>
      <c r="J88" s="33"/>
    </row>
    <row r="89" spans="1:10" s="59" customFormat="1" ht="18" customHeight="1">
      <c r="A89" s="27"/>
      <c r="B89" s="27"/>
      <c r="C89" s="33"/>
      <c r="D89" s="34"/>
      <c r="E89" s="33"/>
      <c r="F89" s="63"/>
      <c r="G89" s="63"/>
      <c r="H89" s="61"/>
      <c r="I89" s="61"/>
      <c r="J89" s="33"/>
    </row>
    <row r="90" spans="1:10" s="59" customFormat="1" ht="18" customHeight="1">
      <c r="A90" s="27"/>
      <c r="B90" s="27"/>
      <c r="C90" s="33"/>
      <c r="D90" s="34"/>
      <c r="E90" s="33"/>
      <c r="F90" s="63"/>
      <c r="G90" s="63"/>
      <c r="H90" s="27"/>
      <c r="I90" s="27"/>
      <c r="J90" s="33"/>
    </row>
    <row r="91" spans="1:10" s="59" customFormat="1" ht="18" customHeight="1">
      <c r="A91" s="27"/>
      <c r="B91" s="27"/>
      <c r="C91" s="33"/>
      <c r="D91" s="34"/>
      <c r="E91" s="33"/>
      <c r="F91" s="63"/>
      <c r="G91" s="63"/>
      <c r="H91" s="61"/>
      <c r="I91" s="61"/>
      <c r="J91" s="33"/>
    </row>
    <row r="92" spans="1:10" s="59" customFormat="1" ht="18" customHeight="1">
      <c r="A92" s="27"/>
      <c r="B92" s="27"/>
      <c r="C92" s="33"/>
      <c r="D92" s="34"/>
      <c r="E92" s="33"/>
      <c r="F92" s="63"/>
      <c r="G92" s="63"/>
      <c r="H92" s="61"/>
      <c r="I92" s="61"/>
      <c r="J92" s="33"/>
    </row>
    <row r="93" spans="1:10" s="59" customFormat="1" ht="18" customHeight="1">
      <c r="A93" s="27"/>
      <c r="B93" s="27"/>
      <c r="C93" s="33"/>
      <c r="D93" s="34"/>
      <c r="E93" s="33"/>
      <c r="F93" s="63"/>
      <c r="G93" s="63"/>
      <c r="H93" s="61"/>
      <c r="I93" s="61"/>
      <c r="J93" s="33"/>
    </row>
    <row r="94" spans="1:10" s="59" customFormat="1" ht="18" customHeight="1">
      <c r="A94" s="27"/>
      <c r="B94" s="27"/>
      <c r="C94" s="33"/>
      <c r="D94" s="34"/>
      <c r="E94" s="33"/>
      <c r="F94" s="63"/>
      <c r="G94" s="63"/>
      <c r="H94" s="61"/>
      <c r="I94" s="61"/>
      <c r="J94" s="33"/>
    </row>
    <row r="95" spans="1:10" s="59" customFormat="1" ht="18" customHeight="1">
      <c r="A95" s="27"/>
      <c r="B95" s="60"/>
      <c r="C95" s="33"/>
      <c r="D95" s="34"/>
      <c r="E95" s="33"/>
      <c r="F95" s="60"/>
      <c r="G95" s="60"/>
      <c r="H95" s="61"/>
      <c r="I95" s="61"/>
      <c r="J95" s="33"/>
    </row>
    <row r="96" spans="1:10" s="59" customFormat="1" ht="18" customHeight="1">
      <c r="A96" s="27"/>
      <c r="B96" s="60"/>
      <c r="C96" s="33"/>
      <c r="D96" s="34"/>
      <c r="E96" s="33"/>
      <c r="F96" s="60"/>
      <c r="G96" s="60"/>
      <c r="H96" s="61"/>
      <c r="I96" s="61"/>
      <c r="J96" s="33"/>
    </row>
    <row r="97" spans="1:10" s="59" customFormat="1" ht="18" customHeight="1">
      <c r="A97" s="27"/>
      <c r="B97" s="60"/>
      <c r="C97" s="33"/>
      <c r="D97" s="34"/>
      <c r="E97" s="33"/>
      <c r="F97" s="60"/>
      <c r="G97" s="60"/>
      <c r="H97" s="61"/>
      <c r="I97" s="61"/>
      <c r="J97" s="33"/>
    </row>
    <row r="98" spans="1:10" s="59" customFormat="1" ht="18" customHeight="1">
      <c r="A98" s="27"/>
      <c r="B98" s="60"/>
      <c r="C98" s="33"/>
      <c r="D98" s="34"/>
      <c r="E98" s="33"/>
      <c r="F98" s="60"/>
      <c r="G98" s="62"/>
      <c r="H98" s="61"/>
      <c r="I98" s="61"/>
      <c r="J98" s="33"/>
    </row>
    <row r="99" spans="1:10" s="59" customFormat="1" ht="18" customHeight="1">
      <c r="A99" s="28"/>
      <c r="B99" s="28"/>
      <c r="C99" s="28"/>
      <c r="D99" s="64"/>
      <c r="E99" s="28"/>
      <c r="F99" s="65"/>
      <c r="G99" s="65"/>
      <c r="H99" s="28"/>
      <c r="I99" s="28"/>
      <c r="J99" s="66"/>
    </row>
    <row r="100" spans="1:10" s="59" customFormat="1" ht="18" customHeight="1">
      <c r="A100" s="28"/>
      <c r="B100" s="28"/>
      <c r="C100" s="28"/>
      <c r="D100" s="64"/>
      <c r="E100" s="28"/>
      <c r="F100" s="65"/>
      <c r="G100" s="65"/>
      <c r="H100" s="28"/>
      <c r="I100" s="28"/>
      <c r="J100" s="66"/>
    </row>
    <row r="101" spans="1:10" s="59" customFormat="1" ht="18" customHeight="1">
      <c r="A101" s="28"/>
      <c r="B101" s="28"/>
      <c r="C101" s="28"/>
      <c r="D101" s="64"/>
      <c r="E101" s="28"/>
      <c r="F101" s="65"/>
      <c r="G101" s="65"/>
      <c r="H101" s="28"/>
      <c r="I101" s="28"/>
      <c r="J101" s="66"/>
    </row>
    <row r="102" spans="1:10" s="59" customFormat="1" ht="18" customHeight="1">
      <c r="A102" s="28"/>
      <c r="B102" s="28"/>
      <c r="C102" s="28"/>
      <c r="D102" s="64"/>
      <c r="E102" s="28"/>
      <c r="F102" s="65"/>
      <c r="G102" s="65"/>
      <c r="H102" s="28"/>
      <c r="I102" s="28"/>
      <c r="J102" s="66"/>
    </row>
    <row r="103" spans="1:10" s="59" customFormat="1" ht="18" customHeight="1">
      <c r="A103" s="28"/>
      <c r="B103" s="28"/>
      <c r="C103" s="28"/>
      <c r="D103" s="64"/>
      <c r="E103" s="28"/>
      <c r="F103" s="65"/>
      <c r="G103" s="65"/>
      <c r="H103" s="28"/>
      <c r="I103" s="28"/>
      <c r="J103" s="66"/>
    </row>
    <row r="104" spans="1:10" s="59" customFormat="1" ht="18" customHeight="1">
      <c r="A104" s="28"/>
      <c r="B104" s="28"/>
      <c r="C104" s="28"/>
      <c r="D104" s="64"/>
      <c r="E104" s="28"/>
      <c r="F104" s="65"/>
      <c r="G104" s="65"/>
      <c r="H104" s="28"/>
      <c r="I104" s="28"/>
      <c r="J104" s="66"/>
    </row>
    <row r="105" spans="1:10" s="59" customFormat="1" ht="18" customHeight="1">
      <c r="A105" s="28"/>
      <c r="B105" s="28"/>
      <c r="C105" s="28"/>
      <c r="D105" s="64"/>
      <c r="E105" s="28"/>
      <c r="F105" s="65"/>
      <c r="G105" s="65"/>
      <c r="H105" s="28"/>
      <c r="I105" s="28"/>
      <c r="J105" s="66"/>
    </row>
    <row r="106" spans="1:10" s="59" customFormat="1" ht="18" customHeight="1">
      <c r="A106" s="28"/>
      <c r="B106" s="28"/>
      <c r="C106" s="28"/>
      <c r="D106" s="64"/>
      <c r="E106" s="28"/>
      <c r="F106" s="65"/>
      <c r="G106" s="65"/>
      <c r="H106" s="28"/>
      <c r="I106" s="28"/>
      <c r="J106" s="66"/>
    </row>
    <row r="107" spans="1:10" s="59" customFormat="1" ht="18" customHeight="1">
      <c r="A107" s="28"/>
      <c r="B107" s="28"/>
      <c r="C107" s="28"/>
      <c r="D107" s="64"/>
      <c r="E107" s="28"/>
      <c r="F107" s="65"/>
      <c r="G107" s="65"/>
      <c r="H107" s="28"/>
      <c r="I107" s="28"/>
      <c r="J107" s="66"/>
    </row>
    <row r="108" spans="1:10" s="59" customFormat="1" ht="18" customHeight="1">
      <c r="A108" s="28"/>
      <c r="B108" s="28"/>
      <c r="C108" s="28"/>
      <c r="D108" s="64"/>
      <c r="E108" s="28"/>
      <c r="F108" s="65"/>
      <c r="G108" s="65"/>
      <c r="H108" s="28"/>
      <c r="I108" s="28"/>
      <c r="J108" s="66"/>
    </row>
    <row r="109" spans="1:10" s="59" customFormat="1" ht="18" customHeight="1">
      <c r="A109" s="28"/>
      <c r="B109" s="28"/>
      <c r="C109" s="28"/>
      <c r="D109" s="64"/>
      <c r="E109" s="28"/>
      <c r="F109" s="65"/>
      <c r="G109" s="65"/>
      <c r="H109" s="28"/>
      <c r="I109" s="28"/>
      <c r="J109" s="66"/>
    </row>
    <row r="110" spans="1:10" s="59" customFormat="1" ht="18" customHeight="1">
      <c r="A110" s="28"/>
      <c r="B110" s="28"/>
      <c r="C110" s="28"/>
      <c r="D110" s="64"/>
      <c r="E110" s="28"/>
      <c r="F110" s="65"/>
      <c r="G110" s="65"/>
      <c r="H110" s="28"/>
      <c r="I110" s="28"/>
      <c r="J110" s="66"/>
    </row>
    <row r="111" spans="1:10" s="59" customFormat="1" ht="18" customHeight="1">
      <c r="A111" s="28"/>
      <c r="B111" s="28"/>
      <c r="C111" s="28"/>
      <c r="D111" s="64"/>
      <c r="E111" s="28"/>
      <c r="F111" s="65"/>
      <c r="G111" s="65"/>
      <c r="H111" s="28"/>
      <c r="I111" s="28"/>
      <c r="J111" s="66"/>
    </row>
    <row r="112" spans="1:10" s="59" customFormat="1" ht="18" customHeight="1">
      <c r="A112" s="28"/>
      <c r="B112" s="28"/>
      <c r="C112" s="28"/>
      <c r="D112" s="64"/>
      <c r="E112" s="28"/>
      <c r="F112" s="65"/>
      <c r="G112" s="65"/>
      <c r="H112" s="28"/>
      <c r="I112" s="28"/>
      <c r="J112" s="66"/>
    </row>
    <row r="113" spans="1:10" s="59" customFormat="1" ht="18" customHeight="1">
      <c r="A113" s="28"/>
      <c r="B113" s="28"/>
      <c r="C113" s="28"/>
      <c r="D113" s="64"/>
      <c r="E113" s="28"/>
      <c r="F113" s="65"/>
      <c r="G113" s="65"/>
      <c r="H113" s="28"/>
      <c r="I113" s="28"/>
      <c r="J113" s="66"/>
    </row>
    <row r="114" spans="1:10" s="59" customFormat="1" ht="18" customHeight="1">
      <c r="A114" s="28"/>
      <c r="B114" s="28"/>
      <c r="C114" s="28"/>
      <c r="D114" s="64"/>
      <c r="E114" s="28"/>
      <c r="F114" s="65"/>
      <c r="G114" s="65"/>
      <c r="H114" s="28"/>
      <c r="I114" s="28"/>
      <c r="J114" s="66"/>
    </row>
    <row r="115" spans="1:10" s="59" customFormat="1" ht="18" customHeight="1">
      <c r="A115" s="28"/>
      <c r="B115" s="28"/>
      <c r="C115" s="28"/>
      <c r="D115" s="64"/>
      <c r="E115" s="28"/>
      <c r="F115" s="65"/>
      <c r="G115" s="65"/>
      <c r="H115" s="28"/>
      <c r="I115" s="28"/>
      <c r="J115" s="66"/>
    </row>
    <row r="116" spans="1:10" s="59" customFormat="1" ht="18" customHeight="1">
      <c r="A116" s="28"/>
      <c r="B116" s="28"/>
      <c r="C116" s="28"/>
      <c r="D116" s="64"/>
      <c r="E116" s="28"/>
      <c r="F116" s="65"/>
      <c r="G116" s="65"/>
      <c r="H116" s="28"/>
      <c r="I116" s="28"/>
      <c r="J116" s="66"/>
    </row>
    <row r="117" spans="1:10" s="59" customFormat="1" ht="18" customHeight="1">
      <c r="A117" s="28"/>
      <c r="B117" s="28"/>
      <c r="C117" s="28"/>
      <c r="D117" s="64"/>
      <c r="E117" s="28"/>
      <c r="F117" s="65"/>
      <c r="G117" s="65"/>
      <c r="H117" s="28"/>
      <c r="I117" s="28"/>
      <c r="J117" s="66"/>
    </row>
    <row r="118" spans="1:10" s="59" customFormat="1" ht="18" customHeight="1">
      <c r="A118" s="28"/>
      <c r="B118" s="28"/>
      <c r="C118" s="28"/>
      <c r="D118" s="64"/>
      <c r="E118" s="28"/>
      <c r="F118" s="65"/>
      <c r="G118" s="65"/>
      <c r="H118" s="28"/>
      <c r="I118" s="28"/>
      <c r="J118" s="66"/>
    </row>
    <row r="119" spans="1:10" s="59" customFormat="1" ht="18" customHeight="1">
      <c r="A119" s="28"/>
      <c r="B119" s="28"/>
      <c r="C119" s="28"/>
      <c r="D119" s="64"/>
      <c r="E119" s="28"/>
      <c r="F119" s="65"/>
      <c r="G119" s="65"/>
      <c r="H119" s="28"/>
      <c r="I119" s="28"/>
      <c r="J119" s="66"/>
    </row>
    <row r="120" spans="1:10" s="59" customFormat="1" ht="18" customHeight="1">
      <c r="A120" s="28"/>
      <c r="B120" s="28"/>
      <c r="C120" s="28"/>
      <c r="D120" s="64"/>
      <c r="E120" s="28"/>
      <c r="F120" s="65"/>
      <c r="G120" s="65"/>
      <c r="H120" s="28"/>
      <c r="I120" s="28"/>
      <c r="J120" s="66"/>
    </row>
    <row r="121" spans="1:10" s="59" customFormat="1" ht="18" customHeight="1">
      <c r="A121" s="28"/>
      <c r="B121" s="28"/>
      <c r="C121" s="28"/>
      <c r="D121" s="64"/>
      <c r="E121" s="28"/>
      <c r="F121" s="65"/>
      <c r="G121" s="65"/>
      <c r="H121" s="28"/>
      <c r="I121" s="28"/>
      <c r="J121" s="66"/>
    </row>
    <row r="122" spans="1:10" s="59" customFormat="1" ht="18" customHeight="1">
      <c r="A122" s="28"/>
      <c r="B122" s="28"/>
      <c r="C122" s="28"/>
      <c r="D122" s="64"/>
      <c r="E122" s="28"/>
      <c r="F122" s="65"/>
      <c r="G122" s="65"/>
      <c r="H122" s="28"/>
      <c r="I122" s="28"/>
      <c r="J122" s="66"/>
    </row>
    <row r="123" spans="1:10" s="59" customFormat="1" ht="18" customHeight="1">
      <c r="A123" s="28"/>
      <c r="B123" s="28"/>
      <c r="C123" s="28"/>
      <c r="D123" s="64"/>
      <c r="E123" s="28"/>
      <c r="F123" s="65"/>
      <c r="G123" s="65"/>
      <c r="H123" s="28"/>
      <c r="I123" s="28"/>
      <c r="J123" s="66"/>
    </row>
    <row r="124" spans="1:10" s="59" customFormat="1" ht="18" customHeight="1">
      <c r="A124" s="28"/>
      <c r="B124" s="28"/>
      <c r="C124" s="28"/>
      <c r="D124" s="64"/>
      <c r="E124" s="28"/>
      <c r="F124" s="65"/>
      <c r="G124" s="65"/>
      <c r="H124" s="28"/>
      <c r="I124" s="28"/>
      <c r="J124" s="66"/>
    </row>
    <row r="125" spans="1:10" s="59" customFormat="1" ht="18" customHeight="1">
      <c r="A125" s="28"/>
      <c r="B125" s="28"/>
      <c r="C125" s="28"/>
      <c r="D125" s="64"/>
      <c r="E125" s="28"/>
      <c r="F125" s="65"/>
      <c r="G125" s="65"/>
      <c r="H125" s="28"/>
      <c r="I125" s="28"/>
      <c r="J125" s="66"/>
    </row>
    <row r="126" spans="1:10" s="59" customFormat="1" ht="18" customHeight="1">
      <c r="A126" s="28"/>
      <c r="B126" s="28"/>
      <c r="C126" s="28"/>
      <c r="D126" s="64"/>
      <c r="E126" s="28"/>
      <c r="F126" s="65"/>
      <c r="G126" s="65"/>
      <c r="H126" s="28"/>
      <c r="I126" s="28"/>
      <c r="J126" s="66"/>
    </row>
    <row r="127" spans="1:10" s="59" customFormat="1" ht="18" customHeight="1">
      <c r="A127" s="28"/>
      <c r="B127" s="28"/>
      <c r="C127" s="28"/>
      <c r="D127" s="64"/>
      <c r="E127" s="28"/>
      <c r="F127" s="65"/>
      <c r="G127" s="65"/>
      <c r="H127" s="28"/>
      <c r="I127" s="28"/>
      <c r="J127" s="66"/>
    </row>
    <row r="128" spans="1:10" s="59" customFormat="1" ht="18" customHeight="1">
      <c r="A128" s="28"/>
      <c r="B128" s="28"/>
      <c r="C128" s="28"/>
      <c r="D128" s="64"/>
      <c r="E128" s="28"/>
      <c r="F128" s="65"/>
      <c r="G128" s="65"/>
      <c r="H128" s="28"/>
      <c r="I128" s="28"/>
      <c r="J128" s="66"/>
    </row>
    <row r="129" spans="1:10" s="59" customFormat="1" ht="18" customHeight="1">
      <c r="A129" s="28"/>
      <c r="B129" s="28"/>
      <c r="C129" s="28"/>
      <c r="D129" s="64"/>
      <c r="E129" s="28"/>
      <c r="F129" s="65"/>
      <c r="G129" s="65"/>
      <c r="H129" s="28"/>
      <c r="I129" s="28"/>
      <c r="J129" s="66"/>
    </row>
    <row r="130" spans="1:10" s="59" customFormat="1" ht="18" customHeight="1">
      <c r="A130" s="28"/>
      <c r="B130" s="28"/>
      <c r="C130" s="28"/>
      <c r="D130" s="64"/>
      <c r="E130" s="28"/>
      <c r="F130" s="65"/>
      <c r="G130" s="65"/>
      <c r="H130" s="28"/>
      <c r="I130" s="28"/>
      <c r="J130" s="66"/>
    </row>
    <row r="131" spans="1:10" s="59" customFormat="1" ht="18" customHeight="1">
      <c r="A131" s="28"/>
      <c r="B131" s="28"/>
      <c r="C131" s="28"/>
      <c r="D131" s="64"/>
      <c r="E131" s="28"/>
      <c r="F131" s="65"/>
      <c r="G131" s="65"/>
      <c r="H131" s="28"/>
      <c r="I131" s="28"/>
      <c r="J131" s="66"/>
    </row>
    <row r="132" spans="1:10" s="59" customFormat="1" ht="18" customHeight="1">
      <c r="A132" s="28"/>
      <c r="B132" s="28"/>
      <c r="C132" s="28"/>
      <c r="D132" s="64"/>
      <c r="E132" s="28"/>
      <c r="F132" s="65"/>
      <c r="G132" s="65"/>
      <c r="H132" s="28"/>
      <c r="I132" s="28"/>
      <c r="J132" s="66"/>
    </row>
    <row r="133" spans="1:10" s="59" customFormat="1" ht="18" customHeight="1">
      <c r="A133" s="28"/>
      <c r="B133" s="28"/>
      <c r="C133" s="28"/>
      <c r="D133" s="64"/>
      <c r="E133" s="28"/>
      <c r="F133" s="65"/>
      <c r="G133" s="65"/>
      <c r="H133" s="28"/>
      <c r="I133" s="28"/>
      <c r="J133" s="66"/>
    </row>
    <row r="134" spans="1:10" s="59" customFormat="1" ht="18" customHeight="1">
      <c r="A134" s="28"/>
      <c r="B134" s="28"/>
      <c r="C134" s="28"/>
      <c r="D134" s="64"/>
      <c r="E134" s="28"/>
      <c r="F134" s="65"/>
      <c r="G134" s="65"/>
      <c r="H134" s="28"/>
      <c r="I134" s="28"/>
      <c r="J134" s="66"/>
    </row>
    <row r="135" spans="1:10" s="59" customFormat="1" ht="18" customHeight="1">
      <c r="A135" s="28"/>
      <c r="B135" s="28"/>
      <c r="C135" s="28"/>
      <c r="D135" s="64"/>
      <c r="E135" s="28"/>
      <c r="F135" s="65"/>
      <c r="G135" s="65"/>
      <c r="H135" s="28"/>
      <c r="I135" s="28"/>
      <c r="J135" s="66"/>
    </row>
    <row r="136" spans="1:10" s="59" customFormat="1" ht="18" customHeight="1">
      <c r="A136" s="28"/>
      <c r="B136" s="28"/>
      <c r="C136" s="28"/>
      <c r="D136" s="64"/>
      <c r="E136" s="28"/>
      <c r="F136" s="65"/>
      <c r="G136" s="65"/>
      <c r="H136" s="28"/>
      <c r="I136" s="28"/>
      <c r="J136" s="66"/>
    </row>
    <row r="137" spans="1:10" s="59" customFormat="1" ht="18" customHeight="1">
      <c r="A137" s="28"/>
      <c r="B137" s="28"/>
      <c r="C137" s="28"/>
      <c r="D137" s="64"/>
      <c r="E137" s="28"/>
      <c r="F137" s="65"/>
      <c r="G137" s="65"/>
      <c r="H137" s="28"/>
      <c r="I137" s="28"/>
      <c r="J137" s="66"/>
    </row>
    <row r="138" spans="1:10" s="59" customFormat="1" ht="18" customHeight="1">
      <c r="A138" s="28"/>
      <c r="B138" s="28"/>
      <c r="C138" s="28"/>
      <c r="D138" s="64"/>
      <c r="E138" s="28"/>
      <c r="F138" s="65"/>
      <c r="G138" s="65"/>
      <c r="H138" s="28"/>
      <c r="I138" s="28"/>
      <c r="J138" s="66"/>
    </row>
    <row r="139" spans="1:10" s="59" customFormat="1" ht="18" customHeight="1">
      <c r="A139" s="28"/>
      <c r="B139" s="28"/>
      <c r="C139" s="28"/>
      <c r="D139" s="64"/>
      <c r="E139" s="28"/>
      <c r="F139" s="65"/>
      <c r="G139" s="65"/>
      <c r="H139" s="28"/>
      <c r="I139" s="28"/>
      <c r="J139" s="66"/>
    </row>
    <row r="140" spans="1:10" s="59" customFormat="1" ht="18" customHeight="1">
      <c r="A140" s="28"/>
      <c r="B140" s="28"/>
      <c r="C140" s="28"/>
      <c r="D140" s="64"/>
      <c r="E140" s="28"/>
      <c r="F140" s="65"/>
      <c r="G140" s="65"/>
      <c r="H140" s="28"/>
      <c r="I140" s="28"/>
      <c r="J140" s="66"/>
    </row>
    <row r="141" spans="1:10" s="59" customFormat="1" ht="18" customHeight="1">
      <c r="A141" s="28"/>
      <c r="B141" s="28"/>
      <c r="C141" s="28"/>
      <c r="D141" s="64"/>
      <c r="E141" s="28"/>
      <c r="F141" s="65"/>
      <c r="G141" s="65"/>
      <c r="H141" s="28"/>
      <c r="I141" s="28"/>
      <c r="J141" s="66"/>
    </row>
    <row r="142" spans="1:10" s="59" customFormat="1" ht="18" customHeight="1">
      <c r="A142" s="28"/>
      <c r="B142" s="28"/>
      <c r="C142" s="28"/>
      <c r="D142" s="64"/>
      <c r="E142" s="28"/>
      <c r="F142" s="65"/>
      <c r="G142" s="65"/>
      <c r="H142" s="28"/>
      <c r="I142" s="28"/>
      <c r="J142" s="66"/>
    </row>
    <row r="143" spans="1:10" s="59" customFormat="1" ht="18" customHeight="1">
      <c r="A143" s="28"/>
      <c r="B143" s="28"/>
      <c r="C143" s="28"/>
      <c r="D143" s="64"/>
      <c r="E143" s="28"/>
      <c r="F143" s="65"/>
      <c r="G143" s="65"/>
      <c r="H143" s="28"/>
      <c r="I143" s="28"/>
      <c r="J143" s="66"/>
    </row>
    <row r="144" spans="1:10" s="59" customFormat="1" ht="18" customHeight="1">
      <c r="A144" s="28"/>
      <c r="B144" s="28"/>
      <c r="C144" s="28"/>
      <c r="D144" s="64"/>
      <c r="E144" s="28"/>
      <c r="F144" s="65"/>
      <c r="G144" s="65"/>
      <c r="H144" s="28"/>
      <c r="I144" s="28"/>
      <c r="J144" s="66"/>
    </row>
    <row r="145" spans="1:10" s="59" customFormat="1" ht="18" customHeight="1">
      <c r="A145" s="28"/>
      <c r="B145" s="28"/>
      <c r="C145" s="28"/>
      <c r="D145" s="64"/>
      <c r="E145" s="28"/>
      <c r="F145" s="65"/>
      <c r="G145" s="65"/>
      <c r="H145" s="28"/>
      <c r="I145" s="28"/>
      <c r="J145" s="66"/>
    </row>
    <row r="146" spans="1:10" s="59" customFormat="1" ht="18" customHeight="1">
      <c r="A146" s="28"/>
      <c r="B146" s="28"/>
      <c r="C146" s="28"/>
      <c r="D146" s="64"/>
      <c r="E146" s="28"/>
      <c r="F146" s="65"/>
      <c r="G146" s="65"/>
      <c r="H146" s="28"/>
      <c r="I146" s="28"/>
      <c r="J146" s="66"/>
    </row>
    <row r="147" spans="1:10" s="59" customFormat="1" ht="18" customHeight="1">
      <c r="A147" s="28"/>
      <c r="B147" s="28"/>
      <c r="C147" s="28"/>
      <c r="D147" s="64"/>
      <c r="E147" s="28"/>
      <c r="F147" s="65"/>
      <c r="G147" s="65"/>
      <c r="H147" s="28"/>
      <c r="I147" s="28"/>
      <c r="J147" s="66"/>
    </row>
    <row r="148" spans="1:10" s="59" customFormat="1" ht="18" customHeight="1">
      <c r="A148" s="28"/>
      <c r="B148" s="28"/>
      <c r="C148" s="28"/>
      <c r="D148" s="64"/>
      <c r="E148" s="28"/>
      <c r="F148" s="65"/>
      <c r="G148" s="65"/>
      <c r="H148" s="28"/>
      <c r="I148" s="28"/>
      <c r="J148" s="66"/>
    </row>
    <row r="149" spans="1:10" s="59" customFormat="1" ht="18" customHeight="1">
      <c r="A149" s="28"/>
      <c r="B149" s="28"/>
      <c r="C149" s="28"/>
      <c r="D149" s="64"/>
      <c r="E149" s="28"/>
      <c r="F149" s="65"/>
      <c r="G149" s="65"/>
      <c r="H149" s="28"/>
      <c r="I149" s="28"/>
      <c r="J149" s="66"/>
    </row>
    <row r="150" spans="1:10" s="59" customFormat="1" ht="18" customHeight="1">
      <c r="A150" s="28"/>
      <c r="B150" s="28"/>
      <c r="C150" s="28"/>
      <c r="D150" s="64"/>
      <c r="E150" s="28"/>
      <c r="F150" s="65"/>
      <c r="G150" s="65"/>
      <c r="H150" s="28"/>
      <c r="I150" s="28"/>
      <c r="J150" s="66"/>
    </row>
  </sheetData>
  <sheetProtection sheet="1" objects="1" scenarios="1"/>
  <mergeCells count="2">
    <mergeCell ref="A1:J1"/>
    <mergeCell ref="H3:J3"/>
  </mergeCells>
  <phoneticPr fontId="2" type="noConversion"/>
  <dataValidations count="6">
    <dataValidation type="list" allowBlank="1" showInputMessage="1" showErrorMessage="1" sqref="I103 I42 I58 I47 I93:I98 I32">
      <formula1>"经理,副经理,支书,副支书,经理助理,中层正职,中层副职,总账会计,辅助会计,辅助会计,出纳会计,协理员,管理员,驾驶员,办事员,科档员,计量员,收费员,发货员,采购员,化验员,监察队员,班组长,拆表工,抄表工,勘估设计,预决算,校表工,换表工,机修工,电工,中控值班,制水工,安装工,外借,内退"</formula1>
    </dataValidation>
    <dataValidation type="list" allowBlank="1" showInputMessage="1" showErrorMessage="1" sqref="I33:I41 I59:I92 I48:I57 I43:I46 H43:H97 I30 H30:H41">
      <formula1>"在职,退休"</formula1>
    </dataValidation>
    <dataValidation type="list" allowBlank="1" showInputMessage="1" showErrorMessage="1" sqref="J43:J97 J30:J41">
      <formula1>"经理室,办公室,生技科,财务科,营业部,制水车间,污水厂,其他,安装公司,退休"</formula1>
    </dataValidation>
    <dataValidation type="list" allowBlank="1" showInputMessage="1" showErrorMessage="1" sqref="H98 H42">
      <formula1>"经理室,办公室,行政科,生技科,财务科,营业部,制水车间,污水厂,其他,安装公司,退休"</formula1>
    </dataValidation>
    <dataValidation type="list" allowBlank="1" showInputMessage="1" showErrorMessage="1" sqref="J98 J42">
      <formula1>"在职,内退,退休"</formula1>
    </dataValidation>
    <dataValidation type="list" allowBlank="1" showInputMessage="1" showErrorMessage="1" sqref="I31">
      <formula1>"经理,副经理,支书,副支书,经理助理,中层正职,中层副职,总账会计,辅助会计,辅助会计,出纳会计,协理员,管理员,驾驶员,办事员,科档员,计量员,收费员,发货员,采购员,化验员,监察队员,班组长,拆表工,抄表工,勘估设计,预决算,校表工,换表工,机修工,电工,中控值班,制水工,内退,安装工,外借,"</formula1>
    </dataValidation>
  </dataValidations>
  <printOptions horizontalCentered="1"/>
  <pageMargins left="0.19685039370078741" right="0.19685039370078741" top="0.98425196850393704" bottom="0.98425196850393704" header="0.51181102362204722" footer="0.51181102362204722"/>
  <pageSetup paperSize="9" orientation="portrait" r:id="rId1"/>
  <headerFooter alignWithMargins="0">
    <oddFooter>第 &amp;P 页，共 &amp;N 页</oddFooter>
  </headerFooter>
  <drawing r:id="rId2"/>
  <legacyDrawing r:id="rId3"/>
  <controls>
    <control shapeId="717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花名册</vt:lpstr>
      <vt:lpstr>筛选数据</vt:lpstr>
      <vt:lpstr>花名册!Print_Titles</vt:lpstr>
      <vt:lpstr>筛选数据!Print_Titles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cp:lastPrinted>2010-03-24T15:56:54Z</cp:lastPrinted>
  <dcterms:created xsi:type="dcterms:W3CDTF">2006-12-30T02:49:53Z</dcterms:created>
  <dcterms:modified xsi:type="dcterms:W3CDTF">2010-04-23T07:47:48Z</dcterms:modified>
</cp:coreProperties>
</file>